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gallagher\Dropbox\Personal\"/>
    </mc:Choice>
  </mc:AlternateContent>
  <xr:revisionPtr revIDLastSave="0" documentId="13_ncr:1_{3A312AB6-9760-4BDC-BAA6-86BDB2EF5B23}" xr6:coauthVersionLast="41" xr6:coauthVersionMax="45" xr10:uidLastSave="{00000000-0000-0000-0000-000000000000}"/>
  <bookViews>
    <workbookView xWindow="-120" yWindow="-120" windowWidth="29040" windowHeight="15840" tabRatio="456" activeTab="2" xr2:uid="{00000000-000D-0000-FFFF-FFFF00000000}"/>
  </bookViews>
  <sheets>
    <sheet name="1 - Amortisation" sheetId="3" r:id="rId1"/>
    <sheet name="2 - Mortgage" sheetId="4" r:id="rId2"/>
    <sheet name="Mortgage - example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6" i="4" l="1"/>
  <c r="G117" i="4" s="1"/>
  <c r="G118" i="4" s="1"/>
  <c r="G119" i="4"/>
  <c r="G120" i="4" s="1"/>
  <c r="G121" i="4" s="1"/>
  <c r="G122" i="4" s="1"/>
  <c r="G123" i="4" s="1"/>
  <c r="G93" i="4"/>
  <c r="G94" i="4" s="1"/>
  <c r="G95" i="4" s="1"/>
  <c r="G96" i="4" s="1"/>
  <c r="G97" i="4" s="1"/>
  <c r="G98" i="4" s="1"/>
  <c r="G99" i="4" s="1"/>
  <c r="A33" i="4"/>
  <c r="A34" i="4"/>
  <c r="A35" i="4"/>
  <c r="A36" i="4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2" i="4"/>
  <c r="A31" i="4"/>
  <c r="N390" i="4"/>
  <c r="M390" i="4"/>
  <c r="N389" i="4"/>
  <c r="M389" i="4"/>
  <c r="N388" i="4"/>
  <c r="M388" i="4"/>
  <c r="N387" i="4"/>
  <c r="M387" i="4"/>
  <c r="N386" i="4"/>
  <c r="M386" i="4"/>
  <c r="N385" i="4"/>
  <c r="M385" i="4"/>
  <c r="N384" i="4"/>
  <c r="M384" i="4"/>
  <c r="N383" i="4"/>
  <c r="M383" i="4"/>
  <c r="N382" i="4"/>
  <c r="M382" i="4"/>
  <c r="N381" i="4"/>
  <c r="M381" i="4"/>
  <c r="N380" i="4"/>
  <c r="M380" i="4"/>
  <c r="N379" i="4"/>
  <c r="M379" i="4"/>
  <c r="N378" i="4"/>
  <c r="M378" i="4"/>
  <c r="N377" i="4"/>
  <c r="M377" i="4"/>
  <c r="N376" i="4"/>
  <c r="M376" i="4"/>
  <c r="N375" i="4"/>
  <c r="M375" i="4"/>
  <c r="N374" i="4"/>
  <c r="M374" i="4"/>
  <c r="N373" i="4"/>
  <c r="M373" i="4"/>
  <c r="N372" i="4"/>
  <c r="M372" i="4"/>
  <c r="N371" i="4"/>
  <c r="M371" i="4"/>
  <c r="N370" i="4"/>
  <c r="M370" i="4"/>
  <c r="N369" i="4"/>
  <c r="M369" i="4"/>
  <c r="N368" i="4"/>
  <c r="M368" i="4"/>
  <c r="N367" i="4"/>
  <c r="M367" i="4"/>
  <c r="N366" i="4"/>
  <c r="M366" i="4"/>
  <c r="N365" i="4"/>
  <c r="M365" i="4"/>
  <c r="N364" i="4"/>
  <c r="M364" i="4"/>
  <c r="N363" i="4"/>
  <c r="M363" i="4"/>
  <c r="N362" i="4"/>
  <c r="M362" i="4"/>
  <c r="N361" i="4"/>
  <c r="M361" i="4"/>
  <c r="N360" i="4"/>
  <c r="M360" i="4"/>
  <c r="N359" i="4"/>
  <c r="M359" i="4"/>
  <c r="N358" i="4"/>
  <c r="M358" i="4"/>
  <c r="N357" i="4"/>
  <c r="M357" i="4"/>
  <c r="N356" i="4"/>
  <c r="M356" i="4"/>
  <c r="N355" i="4"/>
  <c r="M355" i="4"/>
  <c r="N354" i="4"/>
  <c r="M354" i="4"/>
  <c r="N353" i="4"/>
  <c r="M353" i="4"/>
  <c r="N352" i="4"/>
  <c r="M352" i="4"/>
  <c r="N351" i="4"/>
  <c r="M351" i="4"/>
  <c r="N350" i="4"/>
  <c r="M350" i="4"/>
  <c r="N349" i="4"/>
  <c r="M349" i="4"/>
  <c r="N348" i="4"/>
  <c r="M348" i="4"/>
  <c r="N347" i="4"/>
  <c r="M347" i="4"/>
  <c r="N346" i="4"/>
  <c r="M346" i="4"/>
  <c r="N345" i="4"/>
  <c r="M345" i="4"/>
  <c r="N344" i="4"/>
  <c r="M344" i="4"/>
  <c r="N343" i="4"/>
  <c r="M343" i="4"/>
  <c r="N342" i="4"/>
  <c r="M342" i="4"/>
  <c r="N341" i="4"/>
  <c r="M341" i="4"/>
  <c r="N340" i="4"/>
  <c r="M340" i="4"/>
  <c r="N339" i="4"/>
  <c r="M339" i="4"/>
  <c r="N338" i="4"/>
  <c r="M338" i="4"/>
  <c r="N337" i="4"/>
  <c r="M337" i="4"/>
  <c r="N336" i="4"/>
  <c r="M336" i="4"/>
  <c r="N335" i="4"/>
  <c r="M335" i="4"/>
  <c r="N334" i="4"/>
  <c r="M334" i="4"/>
  <c r="N333" i="4"/>
  <c r="M333" i="4"/>
  <c r="N332" i="4"/>
  <c r="M332" i="4"/>
  <c r="N331" i="4"/>
  <c r="M331" i="4"/>
  <c r="N330" i="4"/>
  <c r="M330" i="4"/>
  <c r="N329" i="4"/>
  <c r="M329" i="4"/>
  <c r="N328" i="4"/>
  <c r="M328" i="4"/>
  <c r="N327" i="4"/>
  <c r="M327" i="4"/>
  <c r="N326" i="4"/>
  <c r="M326" i="4"/>
  <c r="N325" i="4"/>
  <c r="M325" i="4"/>
  <c r="N324" i="4"/>
  <c r="M324" i="4"/>
  <c r="N323" i="4"/>
  <c r="M323" i="4"/>
  <c r="N322" i="4"/>
  <c r="M322" i="4"/>
  <c r="N321" i="4"/>
  <c r="M321" i="4"/>
  <c r="N320" i="4"/>
  <c r="M320" i="4"/>
  <c r="N319" i="4"/>
  <c r="M319" i="4"/>
  <c r="N318" i="4"/>
  <c r="M318" i="4"/>
  <c r="N317" i="4"/>
  <c r="M317" i="4"/>
  <c r="N316" i="4"/>
  <c r="M316" i="4"/>
  <c r="N315" i="4"/>
  <c r="M315" i="4"/>
  <c r="N314" i="4"/>
  <c r="M314" i="4"/>
  <c r="N313" i="4"/>
  <c r="M313" i="4"/>
  <c r="N312" i="4"/>
  <c r="M312" i="4"/>
  <c r="N311" i="4"/>
  <c r="M311" i="4"/>
  <c r="N310" i="4"/>
  <c r="M310" i="4"/>
  <c r="N309" i="4"/>
  <c r="M309" i="4"/>
  <c r="N308" i="4"/>
  <c r="M308" i="4"/>
  <c r="N307" i="4"/>
  <c r="M307" i="4"/>
  <c r="N306" i="4"/>
  <c r="M306" i="4"/>
  <c r="N305" i="4"/>
  <c r="M305" i="4"/>
  <c r="N304" i="4"/>
  <c r="M304" i="4"/>
  <c r="N303" i="4"/>
  <c r="M303" i="4"/>
  <c r="N302" i="4"/>
  <c r="M302" i="4"/>
  <c r="N301" i="4"/>
  <c r="M301" i="4"/>
  <c r="N300" i="4"/>
  <c r="M300" i="4"/>
  <c r="N299" i="4"/>
  <c r="M299" i="4"/>
  <c r="N298" i="4"/>
  <c r="M298" i="4"/>
  <c r="N297" i="4"/>
  <c r="M297" i="4"/>
  <c r="N296" i="4"/>
  <c r="M296" i="4"/>
  <c r="N295" i="4"/>
  <c r="M295" i="4"/>
  <c r="N294" i="4"/>
  <c r="M294" i="4"/>
  <c r="N293" i="4"/>
  <c r="M293" i="4"/>
  <c r="N292" i="4"/>
  <c r="M292" i="4"/>
  <c r="N291" i="4"/>
  <c r="M291" i="4"/>
  <c r="N290" i="4"/>
  <c r="M290" i="4"/>
  <c r="N289" i="4"/>
  <c r="M289" i="4"/>
  <c r="N288" i="4"/>
  <c r="M288" i="4"/>
  <c r="N287" i="4"/>
  <c r="M287" i="4"/>
  <c r="N286" i="4"/>
  <c r="M286" i="4"/>
  <c r="N285" i="4"/>
  <c r="M285" i="4"/>
  <c r="N284" i="4"/>
  <c r="M284" i="4"/>
  <c r="N283" i="4"/>
  <c r="M283" i="4"/>
  <c r="N282" i="4"/>
  <c r="M282" i="4"/>
  <c r="N281" i="4"/>
  <c r="M281" i="4"/>
  <c r="N280" i="4"/>
  <c r="M280" i="4"/>
  <c r="N279" i="4"/>
  <c r="M279" i="4"/>
  <c r="N278" i="4"/>
  <c r="M278" i="4"/>
  <c r="N277" i="4"/>
  <c r="M277" i="4"/>
  <c r="N276" i="4"/>
  <c r="M276" i="4"/>
  <c r="N275" i="4"/>
  <c r="M275" i="4"/>
  <c r="N274" i="4"/>
  <c r="M274" i="4"/>
  <c r="N273" i="4"/>
  <c r="M273" i="4"/>
  <c r="N272" i="4"/>
  <c r="M272" i="4"/>
  <c r="N271" i="4"/>
  <c r="M271" i="4"/>
  <c r="N270" i="4"/>
  <c r="M270" i="4"/>
  <c r="N269" i="4"/>
  <c r="M269" i="4"/>
  <c r="N268" i="4"/>
  <c r="M268" i="4"/>
  <c r="N267" i="4"/>
  <c r="M267" i="4"/>
  <c r="N266" i="4"/>
  <c r="M266" i="4"/>
  <c r="N265" i="4"/>
  <c r="M265" i="4"/>
  <c r="N264" i="4"/>
  <c r="M264" i="4"/>
  <c r="N263" i="4"/>
  <c r="M263" i="4"/>
  <c r="H263" i="4"/>
  <c r="N262" i="4"/>
  <c r="M262" i="4"/>
  <c r="N261" i="4"/>
  <c r="M261" i="4"/>
  <c r="N260" i="4"/>
  <c r="M260" i="4"/>
  <c r="N259" i="4"/>
  <c r="M259" i="4"/>
  <c r="N258" i="4"/>
  <c r="M258" i="4"/>
  <c r="N257" i="4"/>
  <c r="M257" i="4"/>
  <c r="N256" i="4"/>
  <c r="M256" i="4"/>
  <c r="N255" i="4"/>
  <c r="M255" i="4"/>
  <c r="N254" i="4"/>
  <c r="M254" i="4"/>
  <c r="N253" i="4"/>
  <c r="M253" i="4"/>
  <c r="N252" i="4"/>
  <c r="M252" i="4"/>
  <c r="N251" i="4"/>
  <c r="M251" i="4"/>
  <c r="N250" i="4"/>
  <c r="M250" i="4"/>
  <c r="N249" i="4"/>
  <c r="M249" i="4"/>
  <c r="N248" i="4"/>
  <c r="M248" i="4"/>
  <c r="N247" i="4"/>
  <c r="M247" i="4"/>
  <c r="N246" i="4"/>
  <c r="M246" i="4"/>
  <c r="N245" i="4"/>
  <c r="M245" i="4"/>
  <c r="N244" i="4"/>
  <c r="M244" i="4"/>
  <c r="N243" i="4"/>
  <c r="M243" i="4"/>
  <c r="N242" i="4"/>
  <c r="M242" i="4"/>
  <c r="N241" i="4"/>
  <c r="M241" i="4"/>
  <c r="N240" i="4"/>
  <c r="M240" i="4"/>
  <c r="N239" i="4"/>
  <c r="M239" i="4"/>
  <c r="N238" i="4"/>
  <c r="M238" i="4"/>
  <c r="N237" i="4"/>
  <c r="M237" i="4"/>
  <c r="N236" i="4"/>
  <c r="M236" i="4"/>
  <c r="N235" i="4"/>
  <c r="M235" i="4"/>
  <c r="N234" i="4"/>
  <c r="M234" i="4"/>
  <c r="N233" i="4"/>
  <c r="M233" i="4"/>
  <c r="N232" i="4"/>
  <c r="M232" i="4"/>
  <c r="N231" i="4"/>
  <c r="M231" i="4"/>
  <c r="N230" i="4"/>
  <c r="M230" i="4"/>
  <c r="N229" i="4"/>
  <c r="M229" i="4"/>
  <c r="N228" i="4"/>
  <c r="M228" i="4"/>
  <c r="N227" i="4"/>
  <c r="M227" i="4"/>
  <c r="N226" i="4"/>
  <c r="M226" i="4"/>
  <c r="N225" i="4"/>
  <c r="M225" i="4"/>
  <c r="N224" i="4"/>
  <c r="M224" i="4"/>
  <c r="N223" i="4"/>
  <c r="M223" i="4"/>
  <c r="N222" i="4"/>
  <c r="M222" i="4"/>
  <c r="N221" i="4"/>
  <c r="M221" i="4"/>
  <c r="N220" i="4"/>
  <c r="M220" i="4"/>
  <c r="N219" i="4"/>
  <c r="M219" i="4"/>
  <c r="N218" i="4"/>
  <c r="M218" i="4"/>
  <c r="N217" i="4"/>
  <c r="M217" i="4"/>
  <c r="N216" i="4"/>
  <c r="M216" i="4"/>
  <c r="N215" i="4"/>
  <c r="M215" i="4"/>
  <c r="N214" i="4"/>
  <c r="M214" i="4"/>
  <c r="N213" i="4"/>
  <c r="M213" i="4"/>
  <c r="N212" i="4"/>
  <c r="M212" i="4"/>
  <c r="N211" i="4"/>
  <c r="M211" i="4"/>
  <c r="N210" i="4"/>
  <c r="M210" i="4"/>
  <c r="N209" i="4"/>
  <c r="M209" i="4"/>
  <c r="N208" i="4"/>
  <c r="M208" i="4"/>
  <c r="N207" i="4"/>
  <c r="M207" i="4"/>
  <c r="N206" i="4"/>
  <c r="M206" i="4"/>
  <c r="N205" i="4"/>
  <c r="M205" i="4"/>
  <c r="N204" i="4"/>
  <c r="M204" i="4"/>
  <c r="N203" i="4"/>
  <c r="M203" i="4"/>
  <c r="N202" i="4"/>
  <c r="M202" i="4"/>
  <c r="N201" i="4"/>
  <c r="M201" i="4"/>
  <c r="N200" i="4"/>
  <c r="M200" i="4"/>
  <c r="N199" i="4"/>
  <c r="M199" i="4"/>
  <c r="N198" i="4"/>
  <c r="M198" i="4"/>
  <c r="N197" i="4"/>
  <c r="M197" i="4"/>
  <c r="N196" i="4"/>
  <c r="M196" i="4"/>
  <c r="N195" i="4"/>
  <c r="M195" i="4"/>
  <c r="N194" i="4"/>
  <c r="M194" i="4"/>
  <c r="N193" i="4"/>
  <c r="M193" i="4"/>
  <c r="N192" i="4"/>
  <c r="M192" i="4"/>
  <c r="N191" i="4"/>
  <c r="M191" i="4"/>
  <c r="N190" i="4"/>
  <c r="M190" i="4"/>
  <c r="N189" i="4"/>
  <c r="M189" i="4"/>
  <c r="N188" i="4"/>
  <c r="M188" i="4"/>
  <c r="N187" i="4"/>
  <c r="M187" i="4"/>
  <c r="N186" i="4"/>
  <c r="M186" i="4"/>
  <c r="N185" i="4"/>
  <c r="M185" i="4"/>
  <c r="N184" i="4"/>
  <c r="M184" i="4"/>
  <c r="N183" i="4"/>
  <c r="M183" i="4"/>
  <c r="N182" i="4"/>
  <c r="M182" i="4"/>
  <c r="N181" i="4"/>
  <c r="M181" i="4"/>
  <c r="N180" i="4"/>
  <c r="M180" i="4"/>
  <c r="N179" i="4"/>
  <c r="M179" i="4"/>
  <c r="N178" i="4"/>
  <c r="M178" i="4"/>
  <c r="N177" i="4"/>
  <c r="M177" i="4"/>
  <c r="N176" i="4"/>
  <c r="M176" i="4"/>
  <c r="N175" i="4"/>
  <c r="M175" i="4"/>
  <c r="N174" i="4"/>
  <c r="M174" i="4"/>
  <c r="N173" i="4"/>
  <c r="M173" i="4"/>
  <c r="N172" i="4"/>
  <c r="M172" i="4"/>
  <c r="N171" i="4"/>
  <c r="M171" i="4"/>
  <c r="N170" i="4"/>
  <c r="M170" i="4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N127" i="4"/>
  <c r="M127" i="4"/>
  <c r="N126" i="4"/>
  <c r="M126" i="4"/>
  <c r="N125" i="4"/>
  <c r="M125" i="4"/>
  <c r="N124" i="4"/>
  <c r="M124" i="4"/>
  <c r="N123" i="4"/>
  <c r="M123" i="4"/>
  <c r="O122" i="4"/>
  <c r="N122" i="4"/>
  <c r="M122" i="4"/>
  <c r="O121" i="4"/>
  <c r="N121" i="4"/>
  <c r="M121" i="4"/>
  <c r="O120" i="4"/>
  <c r="N120" i="4"/>
  <c r="M120" i="4"/>
  <c r="O119" i="4"/>
  <c r="N119" i="4"/>
  <c r="M119" i="4"/>
  <c r="O118" i="4"/>
  <c r="N118" i="4"/>
  <c r="M118" i="4"/>
  <c r="O117" i="4"/>
  <c r="N117" i="4"/>
  <c r="M117" i="4"/>
  <c r="O116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H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H87" i="4"/>
  <c r="N86" i="4"/>
  <c r="M86" i="4"/>
  <c r="H86" i="4"/>
  <c r="N85" i="4"/>
  <c r="M85" i="4"/>
  <c r="N84" i="4"/>
  <c r="M84" i="4"/>
  <c r="H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H77" i="4"/>
  <c r="N76" i="4"/>
  <c r="M76" i="4"/>
  <c r="N75" i="4"/>
  <c r="M75" i="4"/>
  <c r="N74" i="4"/>
  <c r="M74" i="4"/>
  <c r="N73" i="4"/>
  <c r="M73" i="4"/>
  <c r="H73" i="4"/>
  <c r="N72" i="4"/>
  <c r="M72" i="4"/>
  <c r="N71" i="4"/>
  <c r="M71" i="4"/>
  <c r="N70" i="4"/>
  <c r="M70" i="4"/>
  <c r="N69" i="4"/>
  <c r="M69" i="4"/>
  <c r="H69" i="4"/>
  <c r="N68" i="4"/>
  <c r="M68" i="4"/>
  <c r="N67" i="4"/>
  <c r="M67" i="4"/>
  <c r="N66" i="4"/>
  <c r="M66" i="4"/>
  <c r="N65" i="4"/>
  <c r="M65" i="4"/>
  <c r="N64" i="4"/>
  <c r="M64" i="4"/>
  <c r="H64" i="4"/>
  <c r="N63" i="4"/>
  <c r="M63" i="4"/>
  <c r="N62" i="4"/>
  <c r="M62" i="4"/>
  <c r="N61" i="4"/>
  <c r="M61" i="4"/>
  <c r="N60" i="4"/>
  <c r="M60" i="4"/>
  <c r="N59" i="4"/>
  <c r="M59" i="4"/>
  <c r="H59" i="4"/>
  <c r="N58" i="4"/>
  <c r="M58" i="4"/>
  <c r="H58" i="4"/>
  <c r="N57" i="4"/>
  <c r="M57" i="4"/>
  <c r="N56" i="4"/>
  <c r="M56" i="4"/>
  <c r="N55" i="4"/>
  <c r="M55" i="4"/>
  <c r="N54" i="4"/>
  <c r="M54" i="4"/>
  <c r="N53" i="4"/>
  <c r="M53" i="4"/>
  <c r="N52" i="4"/>
  <c r="M52" i="4"/>
  <c r="N51" i="4"/>
  <c r="M51" i="4"/>
  <c r="N50" i="4"/>
  <c r="M50" i="4"/>
  <c r="N49" i="4"/>
  <c r="M49" i="4"/>
  <c r="N48" i="4"/>
  <c r="M48" i="4"/>
  <c r="N47" i="4"/>
  <c r="M47" i="4"/>
  <c r="N46" i="4"/>
  <c r="M46" i="4"/>
  <c r="N45" i="4"/>
  <c r="M45" i="4"/>
  <c r="N44" i="4"/>
  <c r="M44" i="4"/>
  <c r="N43" i="4"/>
  <c r="M43" i="4"/>
  <c r="H43" i="4"/>
  <c r="N42" i="4"/>
  <c r="M42" i="4"/>
  <c r="H42" i="4"/>
  <c r="N41" i="4"/>
  <c r="M41" i="4"/>
  <c r="H41" i="4"/>
  <c r="N40" i="4"/>
  <c r="M40" i="4"/>
  <c r="H40" i="4"/>
  <c r="N39" i="4"/>
  <c r="M39" i="4"/>
  <c r="H39" i="4"/>
  <c r="N38" i="4"/>
  <c r="M38" i="4"/>
  <c r="H38" i="4"/>
  <c r="N37" i="4"/>
  <c r="M37" i="4"/>
  <c r="H37" i="4"/>
  <c r="N36" i="4"/>
  <c r="M36" i="4"/>
  <c r="H36" i="4"/>
  <c r="N35" i="4"/>
  <c r="M35" i="4"/>
  <c r="H35" i="4"/>
  <c r="N34" i="4"/>
  <c r="M34" i="4"/>
  <c r="H34" i="4"/>
  <c r="I2" i="4"/>
  <c r="N33" i="4"/>
  <c r="M33" i="4"/>
  <c r="N32" i="4"/>
  <c r="M32" i="4"/>
  <c r="H31" i="4"/>
  <c r="G31" i="4"/>
  <c r="G32" i="4" s="1"/>
  <c r="G33" i="4" s="1"/>
  <c r="H327" i="4"/>
  <c r="I4" i="4"/>
  <c r="I17" i="4" s="1"/>
  <c r="G124" i="4" l="1"/>
  <c r="O123" i="4"/>
  <c r="G100" i="4"/>
  <c r="O99" i="4"/>
  <c r="G34" i="4"/>
  <c r="O33" i="4"/>
  <c r="O32" i="4"/>
  <c r="H44" i="4"/>
  <c r="H45" i="4"/>
  <c r="H60" i="4"/>
  <c r="H61" i="4"/>
  <c r="H65" i="4"/>
  <c r="H70" i="4"/>
  <c r="H74" i="4"/>
  <c r="H78" i="4"/>
  <c r="H80" i="4"/>
  <c r="H82" i="4"/>
  <c r="H83" i="4"/>
  <c r="H96" i="4"/>
  <c r="H98" i="4"/>
  <c r="H295" i="4"/>
  <c r="H46" i="4"/>
  <c r="H62" i="4"/>
  <c r="H66" i="4"/>
  <c r="H71" i="4"/>
  <c r="H75" i="4"/>
  <c r="H79" i="4"/>
  <c r="H92" i="4"/>
  <c r="H94" i="4"/>
  <c r="H95" i="4"/>
  <c r="H107" i="4"/>
  <c r="H390" i="4"/>
  <c r="H388" i="4"/>
  <c r="H386" i="4"/>
  <c r="H384" i="4"/>
  <c r="H382" i="4"/>
  <c r="H380" i="4"/>
  <c r="H378" i="4"/>
  <c r="H376" i="4"/>
  <c r="H374" i="4"/>
  <c r="H372" i="4"/>
  <c r="H370" i="4"/>
  <c r="H368" i="4"/>
  <c r="H366" i="4"/>
  <c r="H364" i="4"/>
  <c r="H362" i="4"/>
  <c r="H360" i="4"/>
  <c r="H358" i="4"/>
  <c r="H356" i="4"/>
  <c r="H354" i="4"/>
  <c r="H352" i="4"/>
  <c r="H350" i="4"/>
  <c r="H348" i="4"/>
  <c r="H346" i="4"/>
  <c r="H344" i="4"/>
  <c r="H342" i="4"/>
  <c r="H340" i="4"/>
  <c r="H338" i="4"/>
  <c r="H336" i="4"/>
  <c r="H334" i="4"/>
  <c r="H332" i="4"/>
  <c r="H330" i="4"/>
  <c r="H328" i="4"/>
  <c r="H326" i="4"/>
  <c r="H324" i="4"/>
  <c r="H322" i="4"/>
  <c r="H320" i="4"/>
  <c r="H318" i="4"/>
  <c r="H316" i="4"/>
  <c r="H314" i="4"/>
  <c r="H312" i="4"/>
  <c r="H310" i="4"/>
  <c r="H308" i="4"/>
  <c r="H306" i="4"/>
  <c r="H304" i="4"/>
  <c r="H302" i="4"/>
  <c r="H300" i="4"/>
  <c r="H298" i="4"/>
  <c r="H296" i="4"/>
  <c r="H294" i="4"/>
  <c r="H292" i="4"/>
  <c r="H290" i="4"/>
  <c r="H288" i="4"/>
  <c r="H286" i="4"/>
  <c r="H284" i="4"/>
  <c r="H282" i="4"/>
  <c r="H280" i="4"/>
  <c r="H278" i="4"/>
  <c r="H276" i="4"/>
  <c r="H274" i="4"/>
  <c r="H272" i="4"/>
  <c r="H270" i="4"/>
  <c r="H268" i="4"/>
  <c r="H266" i="4"/>
  <c r="H264" i="4"/>
  <c r="H262" i="4"/>
  <c r="H260" i="4"/>
  <c r="H258" i="4"/>
  <c r="H256" i="4"/>
  <c r="H254" i="4"/>
  <c r="H252" i="4"/>
  <c r="H250" i="4"/>
  <c r="H248" i="4"/>
  <c r="H246" i="4"/>
  <c r="H244" i="4"/>
  <c r="H242" i="4"/>
  <c r="H240" i="4"/>
  <c r="H238" i="4"/>
  <c r="H236" i="4"/>
  <c r="H234" i="4"/>
  <c r="H232" i="4"/>
  <c r="H230" i="4"/>
  <c r="H228" i="4"/>
  <c r="H226" i="4"/>
  <c r="H224" i="4"/>
  <c r="H222" i="4"/>
  <c r="H385" i="4"/>
  <c r="H377" i="4"/>
  <c r="H369" i="4"/>
  <c r="H361" i="4"/>
  <c r="H353" i="4"/>
  <c r="H345" i="4"/>
  <c r="H337" i="4"/>
  <c r="H329" i="4"/>
  <c r="H321" i="4"/>
  <c r="H313" i="4"/>
  <c r="H305" i="4"/>
  <c r="H297" i="4"/>
  <c r="H289" i="4"/>
  <c r="H281" i="4"/>
  <c r="H273" i="4"/>
  <c r="H265" i="4"/>
  <c r="H257" i="4"/>
  <c r="H249" i="4"/>
  <c r="H241" i="4"/>
  <c r="H233" i="4"/>
  <c r="H225" i="4"/>
  <c r="H220" i="4"/>
  <c r="H218" i="4"/>
  <c r="H216" i="4"/>
  <c r="H214" i="4"/>
  <c r="H212" i="4"/>
  <c r="H210" i="4"/>
  <c r="H208" i="4"/>
  <c r="H206" i="4"/>
  <c r="H204" i="4"/>
  <c r="H202" i="4"/>
  <c r="H200" i="4"/>
  <c r="H198" i="4"/>
  <c r="H196" i="4"/>
  <c r="H194" i="4"/>
  <c r="H192" i="4"/>
  <c r="H190" i="4"/>
  <c r="H188" i="4"/>
  <c r="H186" i="4"/>
  <c r="H184" i="4"/>
  <c r="H182" i="4"/>
  <c r="H180" i="4"/>
  <c r="H178" i="4"/>
  <c r="H176" i="4"/>
  <c r="H174" i="4"/>
  <c r="H172" i="4"/>
  <c r="H170" i="4"/>
  <c r="H168" i="4"/>
  <c r="H166" i="4"/>
  <c r="H164" i="4"/>
  <c r="H162" i="4"/>
  <c r="H160" i="4"/>
  <c r="H158" i="4"/>
  <c r="H156" i="4"/>
  <c r="H154" i="4"/>
  <c r="H152" i="4"/>
  <c r="H387" i="4"/>
  <c r="H379" i="4"/>
  <c r="H371" i="4"/>
  <c r="H363" i="4"/>
  <c r="H355" i="4"/>
  <c r="H347" i="4"/>
  <c r="H339" i="4"/>
  <c r="H331" i="4"/>
  <c r="H323" i="4"/>
  <c r="H315" i="4"/>
  <c r="H307" i="4"/>
  <c r="H299" i="4"/>
  <c r="H291" i="4"/>
  <c r="H283" i="4"/>
  <c r="H275" i="4"/>
  <c r="H267" i="4"/>
  <c r="H259" i="4"/>
  <c r="H251" i="4"/>
  <c r="H243" i="4"/>
  <c r="H235" i="4"/>
  <c r="H227" i="4"/>
  <c r="H389" i="4"/>
  <c r="H381" i="4"/>
  <c r="H373" i="4"/>
  <c r="H365" i="4"/>
  <c r="H357" i="4"/>
  <c r="H349" i="4"/>
  <c r="H341" i="4"/>
  <c r="H333" i="4"/>
  <c r="H325" i="4"/>
  <c r="H317" i="4"/>
  <c r="H309" i="4"/>
  <c r="H301" i="4"/>
  <c r="H293" i="4"/>
  <c r="H285" i="4"/>
  <c r="H277" i="4"/>
  <c r="H269" i="4"/>
  <c r="H261" i="4"/>
  <c r="H253" i="4"/>
  <c r="H245" i="4"/>
  <c r="H237" i="4"/>
  <c r="H229" i="4"/>
  <c r="H221" i="4"/>
  <c r="H219" i="4"/>
  <c r="H217" i="4"/>
  <c r="H215" i="4"/>
  <c r="H213" i="4"/>
  <c r="H211" i="4"/>
  <c r="H209" i="4"/>
  <c r="H207" i="4"/>
  <c r="H205" i="4"/>
  <c r="H203" i="4"/>
  <c r="H201" i="4"/>
  <c r="H199" i="4"/>
  <c r="H197" i="4"/>
  <c r="H195" i="4"/>
  <c r="H193" i="4"/>
  <c r="H191" i="4"/>
  <c r="H189" i="4"/>
  <c r="H187" i="4"/>
  <c r="H185" i="4"/>
  <c r="H183" i="4"/>
  <c r="H181" i="4"/>
  <c r="H179" i="4"/>
  <c r="H177" i="4"/>
  <c r="H175" i="4"/>
  <c r="H173" i="4"/>
  <c r="H171" i="4"/>
  <c r="H169" i="4"/>
  <c r="H167" i="4"/>
  <c r="H165" i="4"/>
  <c r="H163" i="4"/>
  <c r="H161" i="4"/>
  <c r="H159" i="4"/>
  <c r="H157" i="4"/>
  <c r="H155" i="4"/>
  <c r="H153" i="4"/>
  <c r="H383" i="4"/>
  <c r="H351" i="4"/>
  <c r="H319" i="4"/>
  <c r="H287" i="4"/>
  <c r="H255" i="4"/>
  <c r="H223" i="4"/>
  <c r="H151" i="4"/>
  <c r="H149" i="4"/>
  <c r="H147" i="4"/>
  <c r="H145" i="4"/>
  <c r="H143" i="4"/>
  <c r="H141" i="4"/>
  <c r="H139" i="4"/>
  <c r="H137" i="4"/>
  <c r="H135" i="4"/>
  <c r="H133" i="4"/>
  <c r="H131" i="4"/>
  <c r="H129" i="4"/>
  <c r="H127" i="4"/>
  <c r="H125" i="4"/>
  <c r="H123" i="4"/>
  <c r="H121" i="4"/>
  <c r="H119" i="4"/>
  <c r="H117" i="4"/>
  <c r="H106" i="4"/>
  <c r="H105" i="4"/>
  <c r="H104" i="4"/>
  <c r="H103" i="4"/>
  <c r="H102" i="4"/>
  <c r="H101" i="4"/>
  <c r="H97" i="4"/>
  <c r="H93" i="4"/>
  <c r="H89" i="4"/>
  <c r="H85" i="4"/>
  <c r="H81" i="4"/>
  <c r="H375" i="4"/>
  <c r="H343" i="4"/>
  <c r="H311" i="4"/>
  <c r="H279" i="4"/>
  <c r="H247" i="4"/>
  <c r="H367" i="4"/>
  <c r="H335" i="4"/>
  <c r="H303" i="4"/>
  <c r="H271" i="4"/>
  <c r="H239" i="4"/>
  <c r="H150" i="4"/>
  <c r="H148" i="4"/>
  <c r="H146" i="4"/>
  <c r="H144" i="4"/>
  <c r="H142" i="4"/>
  <c r="H140" i="4"/>
  <c r="H138" i="4"/>
  <c r="H136" i="4"/>
  <c r="H134" i="4"/>
  <c r="H132" i="4"/>
  <c r="H130" i="4"/>
  <c r="H128" i="4"/>
  <c r="H126" i="4"/>
  <c r="H124" i="4"/>
  <c r="H122" i="4"/>
  <c r="H120" i="4"/>
  <c r="H118" i="4"/>
  <c r="H116" i="4"/>
  <c r="H115" i="4"/>
  <c r="H114" i="4"/>
  <c r="H113" i="4"/>
  <c r="H112" i="4"/>
  <c r="H111" i="4"/>
  <c r="H110" i="4"/>
  <c r="H109" i="4"/>
  <c r="H108" i="4"/>
  <c r="H32" i="4"/>
  <c r="H33" i="4"/>
  <c r="H47" i="4"/>
  <c r="H48" i="4"/>
  <c r="H49" i="4"/>
  <c r="H50" i="4"/>
  <c r="H51" i="4"/>
  <c r="H52" i="4"/>
  <c r="H53" i="4"/>
  <c r="H54" i="4"/>
  <c r="H55" i="4"/>
  <c r="H56" i="4"/>
  <c r="H57" i="4"/>
  <c r="H63" i="4"/>
  <c r="H67" i="4"/>
  <c r="H68" i="4"/>
  <c r="H72" i="4"/>
  <c r="H76" i="4"/>
  <c r="H88" i="4"/>
  <c r="H90" i="4"/>
  <c r="H91" i="4"/>
  <c r="H100" i="4"/>
  <c r="H231" i="4"/>
  <c r="H359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2" i="3"/>
  <c r="G2" i="3" s="1"/>
  <c r="I31" i="4" s="1"/>
  <c r="A15" i="3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2" i="3"/>
  <c r="G125" i="4" l="1"/>
  <c r="O124" i="4"/>
  <c r="G101" i="4"/>
  <c r="O100" i="4"/>
  <c r="G35" i="4"/>
  <c r="O34" i="4"/>
  <c r="F3" i="3"/>
  <c r="F7" i="3"/>
  <c r="F11" i="3"/>
  <c r="F15" i="3"/>
  <c r="F19" i="3"/>
  <c r="F23" i="3"/>
  <c r="F27" i="3"/>
  <c r="F31" i="3"/>
  <c r="F35" i="3"/>
  <c r="F39" i="3"/>
  <c r="F43" i="3"/>
  <c r="F47" i="3"/>
  <c r="F51" i="3"/>
  <c r="F55" i="3"/>
  <c r="F59" i="3"/>
  <c r="F63" i="3"/>
  <c r="F67" i="3"/>
  <c r="F71" i="3"/>
  <c r="F75" i="3"/>
  <c r="F79" i="3"/>
  <c r="F83" i="3"/>
  <c r="F87" i="3"/>
  <c r="F91" i="3"/>
  <c r="F95" i="3"/>
  <c r="F99" i="3"/>
  <c r="F103" i="3"/>
  <c r="F107" i="3"/>
  <c r="F111" i="3"/>
  <c r="F115" i="3"/>
  <c r="F119" i="3"/>
  <c r="F123" i="3"/>
  <c r="F127" i="3"/>
  <c r="F131" i="3"/>
  <c r="F135" i="3"/>
  <c r="F139" i="3"/>
  <c r="F143" i="3"/>
  <c r="F147" i="3"/>
  <c r="F151" i="3"/>
  <c r="F155" i="3"/>
  <c r="F159" i="3"/>
  <c r="F163" i="3"/>
  <c r="F167" i="3"/>
  <c r="F171" i="3"/>
  <c r="F175" i="3"/>
  <c r="F179" i="3"/>
  <c r="F183" i="3"/>
  <c r="F187" i="3"/>
  <c r="F191" i="3"/>
  <c r="F195" i="3"/>
  <c r="F5" i="3"/>
  <c r="F9" i="3"/>
  <c r="F13" i="3"/>
  <c r="F17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3" i="3"/>
  <c r="F137" i="3"/>
  <c r="F141" i="3"/>
  <c r="F145" i="3"/>
  <c r="F149" i="3"/>
  <c r="F153" i="3"/>
  <c r="F157" i="3"/>
  <c r="F161" i="3"/>
  <c r="F165" i="3"/>
  <c r="F169" i="3"/>
  <c r="F173" i="3"/>
  <c r="F177" i="3"/>
  <c r="F181" i="3"/>
  <c r="F185" i="3"/>
  <c r="F189" i="3"/>
  <c r="F193" i="3"/>
  <c r="F197" i="3"/>
  <c r="F201" i="3"/>
  <c r="F205" i="3"/>
  <c r="F209" i="3"/>
  <c r="F213" i="3"/>
  <c r="F217" i="3"/>
  <c r="F221" i="3"/>
  <c r="F225" i="3"/>
  <c r="F229" i="3"/>
  <c r="F233" i="3"/>
  <c r="F237" i="3"/>
  <c r="F241" i="3"/>
  <c r="F245" i="3"/>
  <c r="F249" i="3"/>
  <c r="F253" i="3"/>
  <c r="F257" i="3"/>
  <c r="F261" i="3"/>
  <c r="F265" i="3"/>
  <c r="F269" i="3"/>
  <c r="F273" i="3"/>
  <c r="F277" i="3"/>
  <c r="F281" i="3"/>
  <c r="F285" i="3"/>
  <c r="F289" i="3"/>
  <c r="F293" i="3"/>
  <c r="F297" i="3"/>
  <c r="F301" i="3"/>
  <c r="F305" i="3"/>
  <c r="F309" i="3"/>
  <c r="F313" i="3"/>
  <c r="F317" i="3"/>
  <c r="F321" i="3"/>
  <c r="F325" i="3"/>
  <c r="F329" i="3"/>
  <c r="F333" i="3"/>
  <c r="F337" i="3"/>
  <c r="F341" i="3"/>
  <c r="F6" i="3"/>
  <c r="F10" i="3"/>
  <c r="F14" i="3"/>
  <c r="F18" i="3"/>
  <c r="F22" i="3"/>
  <c r="F26" i="3"/>
  <c r="F30" i="3"/>
  <c r="F34" i="3"/>
  <c r="F38" i="3"/>
  <c r="F42" i="3"/>
  <c r="F46" i="3"/>
  <c r="F50" i="3"/>
  <c r="F4" i="3"/>
  <c r="F20" i="3"/>
  <c r="F36" i="3"/>
  <c r="F52" i="3"/>
  <c r="F60" i="3"/>
  <c r="F68" i="3"/>
  <c r="F76" i="3"/>
  <c r="F84" i="3"/>
  <c r="F92" i="3"/>
  <c r="F100" i="3"/>
  <c r="F108" i="3"/>
  <c r="F116" i="3"/>
  <c r="F124" i="3"/>
  <c r="F132" i="3"/>
  <c r="F140" i="3"/>
  <c r="F148" i="3"/>
  <c r="F156" i="3"/>
  <c r="F164" i="3"/>
  <c r="F172" i="3"/>
  <c r="F180" i="3"/>
  <c r="F188" i="3"/>
  <c r="F196" i="3"/>
  <c r="F202" i="3"/>
  <c r="F207" i="3"/>
  <c r="F212" i="3"/>
  <c r="F218" i="3"/>
  <c r="F223" i="3"/>
  <c r="F228" i="3"/>
  <c r="F234" i="3"/>
  <c r="F239" i="3"/>
  <c r="F244" i="3"/>
  <c r="F250" i="3"/>
  <c r="F255" i="3"/>
  <c r="F260" i="3"/>
  <c r="F266" i="3"/>
  <c r="F271" i="3"/>
  <c r="F276" i="3"/>
  <c r="F282" i="3"/>
  <c r="F287" i="3"/>
  <c r="F292" i="3"/>
  <c r="F298" i="3"/>
  <c r="F303" i="3"/>
  <c r="F308" i="3"/>
  <c r="F314" i="3"/>
  <c r="F319" i="3"/>
  <c r="F324" i="3"/>
  <c r="F330" i="3"/>
  <c r="F335" i="3"/>
  <c r="F340" i="3"/>
  <c r="F345" i="3"/>
  <c r="F349" i="3"/>
  <c r="F353" i="3"/>
  <c r="F357" i="3"/>
  <c r="F361" i="3"/>
  <c r="F24" i="3"/>
  <c r="F40" i="3"/>
  <c r="F62" i="3"/>
  <c r="F78" i="3"/>
  <c r="F86" i="3"/>
  <c r="F102" i="3"/>
  <c r="F118" i="3"/>
  <c r="F126" i="3"/>
  <c r="F142" i="3"/>
  <c r="F158" i="3"/>
  <c r="F174" i="3"/>
  <c r="F182" i="3"/>
  <c r="F198" i="3"/>
  <c r="F208" i="3"/>
  <c r="F219" i="3"/>
  <c r="F230" i="3"/>
  <c r="F240" i="3"/>
  <c r="F246" i="3"/>
  <c r="F256" i="3"/>
  <c r="F262" i="3"/>
  <c r="F272" i="3"/>
  <c r="F278" i="3"/>
  <c r="F288" i="3"/>
  <c r="F299" i="3"/>
  <c r="F310" i="3"/>
  <c r="F315" i="3"/>
  <c r="F326" i="3"/>
  <c r="F336" i="3"/>
  <c r="F342" i="3"/>
  <c r="F350" i="3"/>
  <c r="F354" i="3"/>
  <c r="F8" i="3"/>
  <c r="F54" i="3"/>
  <c r="F70" i="3"/>
  <c r="F94" i="3"/>
  <c r="F110" i="3"/>
  <c r="F134" i="3"/>
  <c r="F150" i="3"/>
  <c r="F166" i="3"/>
  <c r="F190" i="3"/>
  <c r="F203" i="3"/>
  <c r="F214" i="3"/>
  <c r="F224" i="3"/>
  <c r="F235" i="3"/>
  <c r="F251" i="3"/>
  <c r="F267" i="3"/>
  <c r="F283" i="3"/>
  <c r="F294" i="3"/>
  <c r="F304" i="3"/>
  <c r="F320" i="3"/>
  <c r="F331" i="3"/>
  <c r="F346" i="3"/>
  <c r="F358" i="3"/>
  <c r="F355" i="3"/>
  <c r="F338" i="3"/>
  <c r="F316" i="3"/>
  <c r="F306" i="3"/>
  <c r="F284" i="3"/>
  <c r="F263" i="3"/>
  <c r="F252" i="3"/>
  <c r="F231" i="3"/>
  <c r="F199" i="3"/>
  <c r="F152" i="3"/>
  <c r="F120" i="3"/>
  <c r="F88" i="3"/>
  <c r="F28" i="3"/>
  <c r="F360" i="3"/>
  <c r="F352" i="3"/>
  <c r="F334" i="3"/>
  <c r="F323" i="3"/>
  <c r="F302" i="3"/>
  <c r="F291" i="3"/>
  <c r="F270" i="3"/>
  <c r="F248" i="3"/>
  <c r="F238" i="3"/>
  <c r="F216" i="3"/>
  <c r="F206" i="3"/>
  <c r="F178" i="3"/>
  <c r="F146" i="3"/>
  <c r="F130" i="3"/>
  <c r="F98" i="3"/>
  <c r="F66" i="3"/>
  <c r="F16" i="3"/>
  <c r="F356" i="3"/>
  <c r="F348" i="3"/>
  <c r="F339" i="3"/>
  <c r="F328" i="3"/>
  <c r="F318" i="3"/>
  <c r="F307" i="3"/>
  <c r="F296" i="3"/>
  <c r="F286" i="3"/>
  <c r="F275" i="3"/>
  <c r="F264" i="3"/>
  <c r="F254" i="3"/>
  <c r="F243" i="3"/>
  <c r="F232" i="3"/>
  <c r="F222" i="3"/>
  <c r="F211" i="3"/>
  <c r="F200" i="3"/>
  <c r="F186" i="3"/>
  <c r="F170" i="3"/>
  <c r="F154" i="3"/>
  <c r="F138" i="3"/>
  <c r="F122" i="3"/>
  <c r="F106" i="3"/>
  <c r="F90" i="3"/>
  <c r="F74" i="3"/>
  <c r="F58" i="3"/>
  <c r="F32" i="3"/>
  <c r="F347" i="3"/>
  <c r="F327" i="3"/>
  <c r="F295" i="3"/>
  <c r="F274" i="3"/>
  <c r="F242" i="3"/>
  <c r="F220" i="3"/>
  <c r="F210" i="3"/>
  <c r="F184" i="3"/>
  <c r="F168" i="3"/>
  <c r="F136" i="3"/>
  <c r="F104" i="3"/>
  <c r="F72" i="3"/>
  <c r="F56" i="3"/>
  <c r="F344" i="3"/>
  <c r="F312" i="3"/>
  <c r="F280" i="3"/>
  <c r="F259" i="3"/>
  <c r="F227" i="3"/>
  <c r="F194" i="3"/>
  <c r="F162" i="3"/>
  <c r="F114" i="3"/>
  <c r="F82" i="3"/>
  <c r="F48" i="3"/>
  <c r="F359" i="3"/>
  <c r="F351" i="3"/>
  <c r="F343" i="3"/>
  <c r="F332" i="3"/>
  <c r="F322" i="3"/>
  <c r="F311" i="3"/>
  <c r="F300" i="3"/>
  <c r="F290" i="3"/>
  <c r="F279" i="3"/>
  <c r="F268" i="3"/>
  <c r="F258" i="3"/>
  <c r="F247" i="3"/>
  <c r="F236" i="3"/>
  <c r="F226" i="3"/>
  <c r="F215" i="3"/>
  <c r="F204" i="3"/>
  <c r="F192" i="3"/>
  <c r="F176" i="3"/>
  <c r="F160" i="3"/>
  <c r="F144" i="3"/>
  <c r="F128" i="3"/>
  <c r="F112" i="3"/>
  <c r="F96" i="3"/>
  <c r="F80" i="3"/>
  <c r="F64" i="3"/>
  <c r="F44" i="3"/>
  <c r="F12" i="3"/>
  <c r="F2" i="3"/>
  <c r="G3" i="3"/>
  <c r="C116" i="2"/>
  <c r="C115" i="2"/>
  <c r="C114" i="2"/>
  <c r="C113" i="2"/>
  <c r="C112" i="2"/>
  <c r="C111" i="2"/>
  <c r="C110" i="2"/>
  <c r="G108" i="2"/>
  <c r="O108" i="2" s="1"/>
  <c r="C109" i="2"/>
  <c r="C108" i="2"/>
  <c r="G107" i="2"/>
  <c r="O107" i="2" s="1"/>
  <c r="C107" i="2"/>
  <c r="C106" i="2"/>
  <c r="C105" i="2"/>
  <c r="C104" i="2"/>
  <c r="C103" i="2"/>
  <c r="C102" i="2"/>
  <c r="C100" i="2"/>
  <c r="C99" i="2"/>
  <c r="O99" i="2"/>
  <c r="O100" i="2"/>
  <c r="O101" i="2"/>
  <c r="O102" i="2"/>
  <c r="O103" i="2"/>
  <c r="O104" i="2"/>
  <c r="O105" i="2"/>
  <c r="O106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C98" i="2"/>
  <c r="G31" i="2"/>
  <c r="G32" i="2" s="1"/>
  <c r="G33" i="2" s="1"/>
  <c r="O33" i="2" s="1"/>
  <c r="C97" i="2"/>
  <c r="C96" i="2"/>
  <c r="C95" i="2"/>
  <c r="C94" i="2"/>
  <c r="C93" i="2"/>
  <c r="C3" i="3"/>
  <c r="C92" i="2"/>
  <c r="C91" i="2"/>
  <c r="C90" i="2"/>
  <c r="C89" i="2"/>
  <c r="C88" i="2"/>
  <c r="C86" i="2"/>
  <c r="C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86" i="2"/>
  <c r="N87" i="2"/>
  <c r="N77" i="2"/>
  <c r="N78" i="2"/>
  <c r="N79" i="2"/>
  <c r="N80" i="2"/>
  <c r="N81" i="2"/>
  <c r="N82" i="2"/>
  <c r="N83" i="2"/>
  <c r="N84" i="2"/>
  <c r="N85" i="2"/>
  <c r="N65" i="2"/>
  <c r="N66" i="2"/>
  <c r="N67" i="2"/>
  <c r="N68" i="2"/>
  <c r="N69" i="2"/>
  <c r="N70" i="2"/>
  <c r="N71" i="2"/>
  <c r="N72" i="2"/>
  <c r="N73" i="2"/>
  <c r="N74" i="2"/>
  <c r="N75" i="2"/>
  <c r="N76" i="2"/>
  <c r="N56" i="2"/>
  <c r="N57" i="2"/>
  <c r="N58" i="2"/>
  <c r="N59" i="2"/>
  <c r="N60" i="2"/>
  <c r="N61" i="2"/>
  <c r="N62" i="2"/>
  <c r="N63" i="2"/>
  <c r="N64" i="2"/>
  <c r="N33" i="2"/>
  <c r="N34" i="2"/>
  <c r="N35" i="2"/>
  <c r="N36" i="2"/>
  <c r="N37" i="2"/>
  <c r="N38" i="2"/>
  <c r="N39" i="2"/>
  <c r="N40" i="2"/>
  <c r="N41" i="2"/>
  <c r="N42" i="2"/>
  <c r="N43" i="2"/>
  <c r="N46" i="2"/>
  <c r="N47" i="2"/>
  <c r="N48" i="2"/>
  <c r="N49" i="2"/>
  <c r="N50" i="2"/>
  <c r="N51" i="2"/>
  <c r="N52" i="2"/>
  <c r="N53" i="2"/>
  <c r="N54" i="2"/>
  <c r="N55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F31" i="2"/>
  <c r="H286" i="2" s="1"/>
  <c r="M32" i="2"/>
  <c r="M33" i="2"/>
  <c r="C34" i="2"/>
  <c r="M34" i="2"/>
  <c r="M35" i="2"/>
  <c r="M36" i="2"/>
  <c r="M37" i="2"/>
  <c r="M38" i="2"/>
  <c r="M39" i="2"/>
  <c r="M40" i="2"/>
  <c r="M41" i="2"/>
  <c r="M42" i="2"/>
  <c r="M43" i="2"/>
  <c r="F44" i="2"/>
  <c r="M44" i="2"/>
  <c r="M45" i="2"/>
  <c r="C46" i="2"/>
  <c r="M46" i="2"/>
  <c r="C47" i="2"/>
  <c r="M47" i="2"/>
  <c r="M48" i="2"/>
  <c r="M49" i="2"/>
  <c r="M50" i="2"/>
  <c r="M51" i="2"/>
  <c r="M52" i="2"/>
  <c r="M53" i="2"/>
  <c r="M54" i="2"/>
  <c r="M55" i="2"/>
  <c r="M56" i="2"/>
  <c r="M57" i="2"/>
  <c r="C58" i="2"/>
  <c r="M58" i="2"/>
  <c r="M59" i="2"/>
  <c r="C60" i="2"/>
  <c r="M60" i="2"/>
  <c r="M61" i="2"/>
  <c r="C62" i="2"/>
  <c r="M62" i="2"/>
  <c r="C63" i="2"/>
  <c r="M63" i="2"/>
  <c r="C64" i="2"/>
  <c r="M64" i="2"/>
  <c r="C65" i="2"/>
  <c r="M65" i="2"/>
  <c r="C66" i="2"/>
  <c r="M66" i="2"/>
  <c r="C67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H389" i="2"/>
  <c r="H236" i="2"/>
  <c r="H293" i="2"/>
  <c r="H133" i="2"/>
  <c r="H239" i="2"/>
  <c r="H76" i="2"/>
  <c r="H33" i="2"/>
  <c r="H151" i="2"/>
  <c r="I31" i="2"/>
  <c r="H323" i="2" l="1"/>
  <c r="H250" i="2"/>
  <c r="H336" i="2"/>
  <c r="H163" i="2"/>
  <c r="H157" i="2"/>
  <c r="H377" i="2"/>
  <c r="G4" i="3"/>
  <c r="I32" i="4"/>
  <c r="G126" i="4"/>
  <c r="O125" i="4"/>
  <c r="G102" i="4"/>
  <c r="O101" i="4"/>
  <c r="G36" i="4"/>
  <c r="O35" i="4"/>
  <c r="H228" i="2"/>
  <c r="H267" i="2"/>
  <c r="H188" i="2"/>
  <c r="H135" i="2"/>
  <c r="H374" i="2"/>
  <c r="H40" i="2"/>
  <c r="H105" i="2"/>
  <c r="H121" i="2"/>
  <c r="H375" i="2"/>
  <c r="H92" i="2"/>
  <c r="H83" i="2"/>
  <c r="H104" i="2"/>
  <c r="H122" i="2"/>
  <c r="H77" i="2"/>
  <c r="H197" i="2"/>
  <c r="H278" i="2"/>
  <c r="H130" i="2"/>
  <c r="H110" i="2"/>
  <c r="H172" i="2"/>
  <c r="H285" i="2"/>
  <c r="H158" i="2"/>
  <c r="H125" i="2"/>
  <c r="H371" i="2"/>
  <c r="H220" i="2"/>
  <c r="H168" i="2"/>
  <c r="H297" i="2"/>
  <c r="H346" i="2"/>
  <c r="H277" i="2"/>
  <c r="H101" i="2"/>
  <c r="H61" i="2"/>
  <c r="H290" i="2"/>
  <c r="H302" i="2"/>
  <c r="H132" i="2"/>
  <c r="H36" i="2"/>
  <c r="H299" i="2"/>
  <c r="H59" i="2"/>
  <c r="H202" i="2"/>
  <c r="H155" i="2"/>
  <c r="H248" i="2"/>
  <c r="H209" i="2"/>
  <c r="K2" i="3"/>
  <c r="H2" i="3"/>
  <c r="H213" i="2"/>
  <c r="H373" i="2"/>
  <c r="H215" i="2"/>
  <c r="H156" i="2"/>
  <c r="H166" i="2"/>
  <c r="H235" i="2"/>
  <c r="H306" i="2"/>
  <c r="H178" i="2"/>
  <c r="H106" i="2"/>
  <c r="H34" i="2"/>
  <c r="H129" i="2"/>
  <c r="H177" i="2"/>
  <c r="H217" i="2"/>
  <c r="H265" i="2"/>
  <c r="H305" i="2"/>
  <c r="H345" i="2"/>
  <c r="H43" i="2"/>
  <c r="H368" i="2"/>
  <c r="H328" i="2"/>
  <c r="H280" i="2"/>
  <c r="H240" i="2"/>
  <c r="H200" i="2"/>
  <c r="H160" i="2"/>
  <c r="H128" i="2"/>
  <c r="H96" i="2"/>
  <c r="H62" i="2"/>
  <c r="H37" i="2"/>
  <c r="H331" i="2"/>
  <c r="H107" i="2"/>
  <c r="H246" i="2"/>
  <c r="H84" i="2"/>
  <c r="H199" i="2"/>
  <c r="H143" i="2"/>
  <c r="H204" i="2"/>
  <c r="H325" i="2"/>
  <c r="H154" i="2"/>
  <c r="H330" i="2"/>
  <c r="H251" i="2"/>
  <c r="H86" i="2"/>
  <c r="H310" i="2"/>
  <c r="H148" i="2"/>
  <c r="H167" i="2"/>
  <c r="H260" i="2"/>
  <c r="H69" i="2"/>
  <c r="H356" i="2"/>
  <c r="H338" i="2"/>
  <c r="H243" i="2"/>
  <c r="H94" i="2"/>
  <c r="H326" i="2"/>
  <c r="H180" i="2"/>
  <c r="H108" i="2"/>
  <c r="H324" i="2"/>
  <c r="H93" i="2"/>
  <c r="H100" i="2"/>
  <c r="H175" i="2"/>
  <c r="H332" i="2"/>
  <c r="H333" i="2"/>
  <c r="H165" i="2"/>
  <c r="H45" i="2"/>
  <c r="H311" i="2"/>
  <c r="H116" i="2"/>
  <c r="H56" i="2"/>
  <c r="H270" i="2"/>
  <c r="H142" i="2"/>
  <c r="H99" i="2"/>
  <c r="H227" i="2"/>
  <c r="H355" i="2"/>
  <c r="H322" i="2"/>
  <c r="H194" i="2"/>
  <c r="H65" i="2"/>
  <c r="H153" i="2"/>
  <c r="H307" i="2"/>
  <c r="H139" i="2"/>
  <c r="H150" i="2"/>
  <c r="H318" i="2"/>
  <c r="H284" i="2"/>
  <c r="H327" i="2"/>
  <c r="H364" i="2"/>
  <c r="H196" i="2"/>
  <c r="H111" i="2"/>
  <c r="H365" i="2"/>
  <c r="H191" i="2"/>
  <c r="N32" i="2"/>
  <c r="H41" i="2"/>
  <c r="H63" i="2"/>
  <c r="H95" i="2"/>
  <c r="H66" i="2"/>
  <c r="H343" i="2"/>
  <c r="H390" i="2"/>
  <c r="H118" i="2"/>
  <c r="H283" i="2"/>
  <c r="H266" i="2"/>
  <c r="H170" i="2"/>
  <c r="H90" i="2"/>
  <c r="H81" i="2"/>
  <c r="H137" i="2"/>
  <c r="H185" i="2"/>
  <c r="H233" i="2"/>
  <c r="H273" i="2"/>
  <c r="H313" i="2"/>
  <c r="H361" i="2"/>
  <c r="H46" i="2"/>
  <c r="H360" i="2"/>
  <c r="H312" i="2"/>
  <c r="H272" i="2"/>
  <c r="H232" i="2"/>
  <c r="H184" i="2"/>
  <c r="H152" i="2"/>
  <c r="H120" i="2"/>
  <c r="H88" i="2"/>
  <c r="H53" i="2"/>
  <c r="H314" i="2"/>
  <c r="H275" i="2"/>
  <c r="H70" i="2"/>
  <c r="H294" i="2"/>
  <c r="H308" i="2"/>
  <c r="H87" i="2"/>
  <c r="H109" i="2"/>
  <c r="H60" i="2"/>
  <c r="H231" i="2"/>
  <c r="H230" i="2"/>
  <c r="H91" i="2"/>
  <c r="H89" i="2"/>
  <c r="H354" i="2"/>
  <c r="H131" i="2"/>
  <c r="H334" i="2"/>
  <c r="H335" i="2"/>
  <c r="H388" i="2"/>
  <c r="H301" i="2"/>
  <c r="H58" i="2"/>
  <c r="H382" i="2"/>
  <c r="H363" i="2"/>
  <c r="H268" i="2"/>
  <c r="H340" i="2"/>
  <c r="H147" i="2"/>
  <c r="H378" i="2"/>
  <c r="H181" i="2"/>
  <c r="H350" i="2"/>
  <c r="H50" i="2"/>
  <c r="H176" i="2"/>
  <c r="H344" i="2"/>
  <c r="H281" i="2"/>
  <c r="H97" i="2"/>
  <c r="H49" i="2"/>
  <c r="H342" i="2"/>
  <c r="H149" i="2"/>
  <c r="H51" i="2"/>
  <c r="H341" i="2"/>
  <c r="H205" i="2"/>
  <c r="H317" i="2"/>
  <c r="H64" i="2"/>
  <c r="H35" i="2"/>
  <c r="H190" i="2"/>
  <c r="H179" i="2"/>
  <c r="H31" i="2"/>
  <c r="H47" i="2"/>
  <c r="H226" i="2"/>
  <c r="H386" i="2"/>
  <c r="H259" i="2"/>
  <c r="H67" i="2"/>
  <c r="H206" i="2"/>
  <c r="H366" i="2"/>
  <c r="H244" i="2"/>
  <c r="H183" i="2"/>
  <c r="H253" i="2"/>
  <c r="H245" i="2"/>
  <c r="H85" i="2"/>
  <c r="H349" i="2"/>
  <c r="H117" i="2"/>
  <c r="H229" i="2"/>
  <c r="H359" i="2"/>
  <c r="H262" i="2"/>
  <c r="H123" i="2"/>
  <c r="H48" i="2"/>
  <c r="H367" i="2"/>
  <c r="H141" i="2"/>
  <c r="H38" i="2"/>
  <c r="H252" i="2"/>
  <c r="H198" i="2"/>
  <c r="H203" i="2"/>
  <c r="H282" i="2"/>
  <c r="H74" i="2"/>
  <c r="H351" i="2"/>
  <c r="H295" i="2"/>
  <c r="H182" i="2"/>
  <c r="H379" i="2"/>
  <c r="H72" i="2"/>
  <c r="H136" i="2"/>
  <c r="H208" i="2"/>
  <c r="H296" i="2"/>
  <c r="H376" i="2"/>
  <c r="H337" i="2"/>
  <c r="H249" i="2"/>
  <c r="H169" i="2"/>
  <c r="H42" i="2"/>
  <c r="H218" i="2"/>
  <c r="H171" i="2"/>
  <c r="H380" i="2"/>
  <c r="H223" i="2"/>
  <c r="H319" i="2"/>
  <c r="H207" i="2"/>
  <c r="H124" i="2"/>
  <c r="H347" i="2"/>
  <c r="H162" i="2"/>
  <c r="H291" i="2"/>
  <c r="H174" i="2"/>
  <c r="H316" i="2"/>
  <c r="H247" i="2"/>
  <c r="H32" i="2"/>
  <c r="H173" i="2"/>
  <c r="H263" i="2"/>
  <c r="H75" i="2"/>
  <c r="H210" i="2"/>
  <c r="H271" i="2"/>
  <c r="H254" i="2"/>
  <c r="H114" i="2"/>
  <c r="H300" i="2"/>
  <c r="H211" i="2"/>
  <c r="H112" i="2"/>
  <c r="H264" i="2"/>
  <c r="H369" i="2"/>
  <c r="H201" i="2"/>
  <c r="H146" i="2"/>
  <c r="H357" i="2"/>
  <c r="H237" i="2"/>
  <c r="H164" i="2"/>
  <c r="H261" i="2"/>
  <c r="H309" i="2"/>
  <c r="H71" i="2"/>
  <c r="H212" i="2"/>
  <c r="H358" i="2"/>
  <c r="H102" i="2"/>
  <c r="H219" i="2"/>
  <c r="H370" i="2"/>
  <c r="H98" i="2"/>
  <c r="H258" i="2"/>
  <c r="H387" i="2"/>
  <c r="H195" i="2"/>
  <c r="H78" i="2"/>
  <c r="H238" i="2"/>
  <c r="H57" i="2"/>
  <c r="H372" i="2"/>
  <c r="H119" i="2"/>
  <c r="H79" i="2"/>
  <c r="H159" i="2"/>
  <c r="H127" i="2"/>
  <c r="H383" i="2"/>
  <c r="H269" i="2"/>
  <c r="H381" i="2"/>
  <c r="H348" i="2"/>
  <c r="H214" i="2"/>
  <c r="H187" i="2"/>
  <c r="H298" i="2"/>
  <c r="H255" i="2"/>
  <c r="H287" i="2"/>
  <c r="H279" i="2"/>
  <c r="H44" i="2"/>
  <c r="H134" i="2"/>
  <c r="H315" i="2"/>
  <c r="H242" i="2"/>
  <c r="H221" i="2"/>
  <c r="H68" i="2"/>
  <c r="H52" i="2"/>
  <c r="H126" i="2"/>
  <c r="H362" i="2"/>
  <c r="H80" i="2"/>
  <c r="H144" i="2"/>
  <c r="H216" i="2"/>
  <c r="H304" i="2"/>
  <c r="H39" i="2"/>
  <c r="H329" i="2"/>
  <c r="H241" i="2"/>
  <c r="H145" i="2"/>
  <c r="H55" i="2"/>
  <c r="H234" i="2"/>
  <c r="H54" i="2"/>
  <c r="H276" i="2"/>
  <c r="H140" i="2"/>
  <c r="C4" i="3"/>
  <c r="N45" i="2"/>
  <c r="H3" i="3"/>
  <c r="N44" i="2"/>
  <c r="I4" i="2"/>
  <c r="I17" i="2" s="1"/>
  <c r="H292" i="2"/>
  <c r="H303" i="2"/>
  <c r="H189" i="2"/>
  <c r="H103" i="2"/>
  <c r="H222" i="2"/>
  <c r="H115" i="2"/>
  <c r="H339" i="2"/>
  <c r="H274" i="2"/>
  <c r="H186" i="2"/>
  <c r="H138" i="2"/>
  <c r="H82" i="2"/>
  <c r="H73" i="2"/>
  <c r="H113" i="2"/>
  <c r="H161" i="2"/>
  <c r="H193" i="2"/>
  <c r="H225" i="2"/>
  <c r="H257" i="2"/>
  <c r="H289" i="2"/>
  <c r="H321" i="2"/>
  <c r="H353" i="2"/>
  <c r="H385" i="2"/>
  <c r="H384" i="2"/>
  <c r="H352" i="2"/>
  <c r="H320" i="2"/>
  <c r="H288" i="2"/>
  <c r="H256" i="2"/>
  <c r="H224" i="2"/>
  <c r="H192" i="2"/>
  <c r="G34" i="2"/>
  <c r="O32" i="2"/>
  <c r="I2" i="2"/>
  <c r="K32" i="4" l="1"/>
  <c r="J33" i="4"/>
  <c r="J32" i="4"/>
  <c r="G5" i="3"/>
  <c r="I33" i="4"/>
  <c r="O126" i="4"/>
  <c r="G127" i="4"/>
  <c r="O102" i="4"/>
  <c r="G103" i="4"/>
  <c r="G37" i="4"/>
  <c r="O36" i="4"/>
  <c r="H4" i="3"/>
  <c r="C5" i="3"/>
  <c r="O34" i="2"/>
  <c r="G35" i="2"/>
  <c r="I32" i="2"/>
  <c r="G6" i="3" l="1"/>
  <c r="I34" i="4"/>
  <c r="J34" i="4"/>
  <c r="K33" i="4"/>
  <c r="G128" i="4"/>
  <c r="O127" i="4"/>
  <c r="G104" i="4"/>
  <c r="O103" i="4"/>
  <c r="G38" i="4"/>
  <c r="O37" i="4"/>
  <c r="H5" i="3"/>
  <c r="C6" i="3"/>
  <c r="I33" i="2"/>
  <c r="J33" i="2" s="1"/>
  <c r="G36" i="2"/>
  <c r="O35" i="2"/>
  <c r="K32" i="2"/>
  <c r="J32" i="2"/>
  <c r="K34" i="4" l="1"/>
  <c r="G7" i="3"/>
  <c r="I35" i="4"/>
  <c r="G129" i="4"/>
  <c r="O128" i="4"/>
  <c r="G105" i="4"/>
  <c r="O104" i="4"/>
  <c r="G39" i="4"/>
  <c r="O38" i="4"/>
  <c r="H6" i="3"/>
  <c r="C7" i="3"/>
  <c r="G37" i="2"/>
  <c r="O36" i="2"/>
  <c r="K33" i="2"/>
  <c r="I34" i="2"/>
  <c r="K35" i="4" l="1"/>
  <c r="G8" i="3"/>
  <c r="I36" i="4"/>
  <c r="J35" i="4"/>
  <c r="G130" i="4"/>
  <c r="O129" i="4"/>
  <c r="G106" i="4"/>
  <c r="O105" i="4"/>
  <c r="G40" i="4"/>
  <c r="O39" i="4"/>
  <c r="C8" i="3"/>
  <c r="H7" i="3"/>
  <c r="K34" i="2"/>
  <c r="J34" i="2"/>
  <c r="I35" i="2"/>
  <c r="G38" i="2"/>
  <c r="O37" i="2"/>
  <c r="K36" i="4" l="1"/>
  <c r="G9" i="3"/>
  <c r="I37" i="4"/>
  <c r="J36" i="4"/>
  <c r="G131" i="4"/>
  <c r="O130" i="4"/>
  <c r="O106" i="4"/>
  <c r="G107" i="4"/>
  <c r="G41" i="4"/>
  <c r="O40" i="4"/>
  <c r="C9" i="3"/>
  <c r="H8" i="3"/>
  <c r="K35" i="2"/>
  <c r="I36" i="2"/>
  <c r="O38" i="2"/>
  <c r="G39" i="2"/>
  <c r="J35" i="2"/>
  <c r="K37" i="4" l="1"/>
  <c r="G10" i="3"/>
  <c r="I38" i="4"/>
  <c r="J37" i="4"/>
  <c r="G132" i="4"/>
  <c r="O131" i="4"/>
  <c r="G108" i="4"/>
  <c r="O107" i="4"/>
  <c r="G42" i="4"/>
  <c r="O41" i="4"/>
  <c r="C10" i="3"/>
  <c r="H9" i="3"/>
  <c r="K36" i="2"/>
  <c r="I37" i="2"/>
  <c r="J37" i="2" s="1"/>
  <c r="J36" i="2"/>
  <c r="G40" i="2"/>
  <c r="O39" i="2"/>
  <c r="K38" i="4" l="1"/>
  <c r="J38" i="4"/>
  <c r="G11" i="3"/>
  <c r="I39" i="4"/>
  <c r="J39" i="4" s="1"/>
  <c r="G133" i="4"/>
  <c r="O132" i="4"/>
  <c r="G109" i="4"/>
  <c r="O108" i="4"/>
  <c r="G43" i="4"/>
  <c r="O42" i="4"/>
  <c r="C11" i="3"/>
  <c r="H10" i="3"/>
  <c r="I38" i="2"/>
  <c r="J38" i="2" s="1"/>
  <c r="G41" i="2"/>
  <c r="O40" i="2"/>
  <c r="K37" i="2"/>
  <c r="G12" i="3" l="1"/>
  <c r="I40" i="4"/>
  <c r="J40" i="4"/>
  <c r="K39" i="4"/>
  <c r="G134" i="4"/>
  <c r="O133" i="4"/>
  <c r="G110" i="4"/>
  <c r="O109" i="4"/>
  <c r="O43" i="4"/>
  <c r="G44" i="4"/>
  <c r="C12" i="3"/>
  <c r="G42" i="2"/>
  <c r="O41" i="2"/>
  <c r="K38" i="2"/>
  <c r="H11" i="3"/>
  <c r="I39" i="2"/>
  <c r="J39" i="2" s="1"/>
  <c r="K40" i="4" l="1"/>
  <c r="G13" i="3"/>
  <c r="I41" i="4"/>
  <c r="J41" i="4" s="1"/>
  <c r="G135" i="4"/>
  <c r="O134" i="4"/>
  <c r="O110" i="4"/>
  <c r="G111" i="4"/>
  <c r="G45" i="4"/>
  <c r="O44" i="4"/>
  <c r="C13" i="3"/>
  <c r="H12" i="3"/>
  <c r="I40" i="2"/>
  <c r="J40" i="2" s="1"/>
  <c r="K39" i="2"/>
  <c r="O42" i="2"/>
  <c r="G43" i="2"/>
  <c r="K41" i="4" l="1"/>
  <c r="G14" i="3"/>
  <c r="I42" i="4"/>
  <c r="G136" i="4"/>
  <c r="O135" i="4"/>
  <c r="O111" i="4"/>
  <c r="G112" i="4"/>
  <c r="O45" i="4"/>
  <c r="G46" i="4"/>
  <c r="H13" i="3"/>
  <c r="C14" i="3"/>
  <c r="I41" i="2"/>
  <c r="J41" i="2" s="1"/>
  <c r="K40" i="2"/>
  <c r="G44" i="2"/>
  <c r="O43" i="2"/>
  <c r="K42" i="4" l="1"/>
  <c r="G15" i="3"/>
  <c r="I43" i="4"/>
  <c r="J43" i="4" s="1"/>
  <c r="J42" i="4"/>
  <c r="G137" i="4"/>
  <c r="O136" i="4"/>
  <c r="G113" i="4"/>
  <c r="O112" i="4"/>
  <c r="G47" i="4"/>
  <c r="O46" i="4"/>
  <c r="H14" i="3"/>
  <c r="C15" i="3"/>
  <c r="G45" i="2"/>
  <c r="O44" i="2"/>
  <c r="I42" i="2"/>
  <c r="J42" i="2" s="1"/>
  <c r="K41" i="2"/>
  <c r="G16" i="3" l="1"/>
  <c r="I44" i="4"/>
  <c r="J44" i="4"/>
  <c r="K43" i="4"/>
  <c r="G138" i="4"/>
  <c r="O137" i="4"/>
  <c r="G114" i="4"/>
  <c r="O113" i="4"/>
  <c r="G48" i="4"/>
  <c r="O47" i="4"/>
  <c r="C16" i="3"/>
  <c r="H15" i="3"/>
  <c r="G46" i="2"/>
  <c r="O45" i="2"/>
  <c r="I43" i="2"/>
  <c r="J43" i="2" s="1"/>
  <c r="K42" i="2"/>
  <c r="K44" i="4" l="1"/>
  <c r="G17" i="3"/>
  <c r="I45" i="4"/>
  <c r="G139" i="4"/>
  <c r="O138" i="4"/>
  <c r="O114" i="4"/>
  <c r="G115" i="4"/>
  <c r="O115" i="4" s="1"/>
  <c r="G49" i="4"/>
  <c r="O48" i="4"/>
  <c r="C17" i="3"/>
  <c r="H16" i="3"/>
  <c r="I44" i="2"/>
  <c r="O46" i="2"/>
  <c r="G47" i="2"/>
  <c r="K43" i="2"/>
  <c r="K45" i="4" l="1"/>
  <c r="J45" i="4"/>
  <c r="G18" i="3"/>
  <c r="I46" i="4"/>
  <c r="G140" i="4"/>
  <c r="O139" i="4"/>
  <c r="G50" i="4"/>
  <c r="O49" i="4"/>
  <c r="H17" i="3"/>
  <c r="C18" i="3"/>
  <c r="I45" i="2"/>
  <c r="J45" i="2" s="1"/>
  <c r="K44" i="2"/>
  <c r="J44" i="2"/>
  <c r="G48" i="2"/>
  <c r="O47" i="2"/>
  <c r="G19" i="3" l="1"/>
  <c r="I47" i="4"/>
  <c r="K46" i="4"/>
  <c r="J47" i="4"/>
  <c r="J46" i="4"/>
  <c r="G141" i="4"/>
  <c r="O140" i="4"/>
  <c r="G51" i="4"/>
  <c r="O50" i="4"/>
  <c r="C19" i="3"/>
  <c r="H18" i="3"/>
  <c r="I46" i="2"/>
  <c r="J46" i="2" s="1"/>
  <c r="G49" i="2"/>
  <c r="O48" i="2"/>
  <c r="K45" i="2"/>
  <c r="K47" i="4" l="1"/>
  <c r="G20" i="3"/>
  <c r="I48" i="4"/>
  <c r="G142" i="4"/>
  <c r="O141" i="4"/>
  <c r="G52" i="4"/>
  <c r="O51" i="4"/>
  <c r="C20" i="3"/>
  <c r="H19" i="3"/>
  <c r="K46" i="2"/>
  <c r="G50" i="2"/>
  <c r="O49" i="2"/>
  <c r="I47" i="2"/>
  <c r="G21" i="3" l="1"/>
  <c r="I49" i="4"/>
  <c r="J49" i="4" s="1"/>
  <c r="K48" i="4"/>
  <c r="J48" i="4"/>
  <c r="G143" i="4"/>
  <c r="O142" i="4"/>
  <c r="G53" i="4"/>
  <c r="O52" i="4"/>
  <c r="C21" i="3"/>
  <c r="H20" i="3"/>
  <c r="I48" i="2"/>
  <c r="K47" i="2"/>
  <c r="O50" i="2"/>
  <c r="G51" i="2"/>
  <c r="J47" i="2"/>
  <c r="K49" i="4" l="1"/>
  <c r="G22" i="3"/>
  <c r="I50" i="4"/>
  <c r="G144" i="4"/>
  <c r="O143" i="4"/>
  <c r="G54" i="4"/>
  <c r="O53" i="4"/>
  <c r="C22" i="3"/>
  <c r="H21" i="3"/>
  <c r="I49" i="2"/>
  <c r="G52" i="2"/>
  <c r="O51" i="2"/>
  <c r="K48" i="2"/>
  <c r="J48" i="2"/>
  <c r="G23" i="3" l="1"/>
  <c r="I51" i="4"/>
  <c r="K50" i="4"/>
  <c r="J51" i="4"/>
  <c r="J50" i="4"/>
  <c r="G145" i="4"/>
  <c r="O144" i="4"/>
  <c r="G55" i="4"/>
  <c r="O54" i="4"/>
  <c r="H22" i="3"/>
  <c r="C23" i="3"/>
  <c r="I50" i="2"/>
  <c r="K49" i="2"/>
  <c r="G53" i="2"/>
  <c r="O52" i="2"/>
  <c r="J49" i="2"/>
  <c r="K51" i="4" l="1"/>
  <c r="G24" i="3"/>
  <c r="I52" i="4"/>
  <c r="G146" i="4"/>
  <c r="O145" i="4"/>
  <c r="G56" i="4"/>
  <c r="O55" i="4"/>
  <c r="H23" i="3"/>
  <c r="C24" i="3"/>
  <c r="K50" i="2"/>
  <c r="G54" i="2"/>
  <c r="O53" i="2"/>
  <c r="J50" i="2"/>
  <c r="I51" i="2"/>
  <c r="K52" i="4" l="1"/>
  <c r="G25" i="3"/>
  <c r="I53" i="4"/>
  <c r="J52" i="4"/>
  <c r="G147" i="4"/>
  <c r="O146" i="4"/>
  <c r="G57" i="4"/>
  <c r="O56" i="4"/>
  <c r="H24" i="3"/>
  <c r="C25" i="3"/>
  <c r="O54" i="2"/>
  <c r="G55" i="2"/>
  <c r="K51" i="2"/>
  <c r="I52" i="2"/>
  <c r="J52" i="2" s="1"/>
  <c r="J51" i="2"/>
  <c r="K53" i="4" l="1"/>
  <c r="G26" i="3"/>
  <c r="I54" i="4"/>
  <c r="J53" i="4"/>
  <c r="G148" i="4"/>
  <c r="O147" i="4"/>
  <c r="G58" i="4"/>
  <c r="O57" i="4"/>
  <c r="H25" i="3"/>
  <c r="C26" i="3"/>
  <c r="I53" i="2"/>
  <c r="K52" i="2"/>
  <c r="G56" i="2"/>
  <c r="O55" i="2"/>
  <c r="K54" i="4" l="1"/>
  <c r="J55" i="4"/>
  <c r="J54" i="4"/>
  <c r="G27" i="3"/>
  <c r="I55" i="4"/>
  <c r="G149" i="4"/>
  <c r="O148" i="4"/>
  <c r="G59" i="4"/>
  <c r="O58" i="4"/>
  <c r="H26" i="3"/>
  <c r="C27" i="3"/>
  <c r="G57" i="2"/>
  <c r="O56" i="2"/>
  <c r="I54" i="2"/>
  <c r="J54" i="2" s="1"/>
  <c r="K53" i="2"/>
  <c r="J53" i="2"/>
  <c r="G28" i="3" l="1"/>
  <c r="I56" i="4"/>
  <c r="K55" i="4"/>
  <c r="J56" i="4"/>
  <c r="G150" i="4"/>
  <c r="O149" i="4"/>
  <c r="O59" i="4"/>
  <c r="G60" i="4"/>
  <c r="H27" i="3"/>
  <c r="C28" i="3"/>
  <c r="I55" i="2"/>
  <c r="J55" i="2" s="1"/>
  <c r="K54" i="2"/>
  <c r="G58" i="2"/>
  <c r="O57" i="2"/>
  <c r="K56" i="4" l="1"/>
  <c r="G29" i="3"/>
  <c r="I57" i="4"/>
  <c r="J57" i="4" s="1"/>
  <c r="G151" i="4"/>
  <c r="O150" i="4"/>
  <c r="O60" i="4"/>
  <c r="G61" i="4"/>
  <c r="C29" i="3"/>
  <c r="H28" i="3"/>
  <c r="O58" i="2"/>
  <c r="G59" i="2"/>
  <c r="I56" i="2"/>
  <c r="J56" i="2" s="1"/>
  <c r="K55" i="2"/>
  <c r="G30" i="3" l="1"/>
  <c r="I58" i="4"/>
  <c r="J58" i="4"/>
  <c r="K57" i="4"/>
  <c r="G152" i="4"/>
  <c r="O151" i="4"/>
  <c r="O61" i="4"/>
  <c r="G62" i="4"/>
  <c r="H29" i="3"/>
  <c r="C30" i="3"/>
  <c r="I57" i="2"/>
  <c r="G60" i="2"/>
  <c r="O59" i="2"/>
  <c r="K56" i="2"/>
  <c r="K58" i="4" l="1"/>
  <c r="G31" i="3"/>
  <c r="I59" i="4"/>
  <c r="G153" i="4"/>
  <c r="O152" i="4"/>
  <c r="G63" i="4"/>
  <c r="O62" i="4"/>
  <c r="C31" i="3"/>
  <c r="H30" i="3"/>
  <c r="G61" i="2"/>
  <c r="O60" i="2"/>
  <c r="I58" i="2"/>
  <c r="J58" i="2" s="1"/>
  <c r="K57" i="2"/>
  <c r="J57" i="2"/>
  <c r="K59" i="4" l="1"/>
  <c r="G32" i="3"/>
  <c r="I60" i="4"/>
  <c r="J59" i="4"/>
  <c r="G154" i="4"/>
  <c r="O153" i="4"/>
  <c r="G64" i="4"/>
  <c r="O63" i="4"/>
  <c r="C32" i="3"/>
  <c r="H31" i="3"/>
  <c r="G62" i="2"/>
  <c r="O61" i="2"/>
  <c r="I59" i="2"/>
  <c r="J59" i="2" s="1"/>
  <c r="K58" i="2"/>
  <c r="K60" i="4" l="1"/>
  <c r="G33" i="3"/>
  <c r="I61" i="4"/>
  <c r="J60" i="4"/>
  <c r="G155" i="4"/>
  <c r="O154" i="4"/>
  <c r="O64" i="4"/>
  <c r="G65" i="4"/>
  <c r="C33" i="3"/>
  <c r="H32" i="3"/>
  <c r="I60" i="2"/>
  <c r="J60" i="2" s="1"/>
  <c r="K59" i="2"/>
  <c r="O62" i="2"/>
  <c r="G63" i="2"/>
  <c r="G34" i="3" l="1"/>
  <c r="I62" i="4"/>
  <c r="K61" i="4"/>
  <c r="J62" i="4"/>
  <c r="J61" i="4"/>
  <c r="G156" i="4"/>
  <c r="O155" i="4"/>
  <c r="O65" i="4"/>
  <c r="G66" i="4"/>
  <c r="C34" i="3"/>
  <c r="H33" i="3"/>
  <c r="G64" i="2"/>
  <c r="O63" i="2"/>
  <c r="I61" i="2"/>
  <c r="K60" i="2"/>
  <c r="K62" i="4" l="1"/>
  <c r="G35" i="3"/>
  <c r="I63" i="4"/>
  <c r="J63" i="4" s="1"/>
  <c r="G157" i="4"/>
  <c r="O156" i="4"/>
  <c r="O66" i="4"/>
  <c r="G67" i="4"/>
  <c r="C35" i="3"/>
  <c r="H34" i="3"/>
  <c r="K61" i="2"/>
  <c r="J61" i="2"/>
  <c r="I62" i="2"/>
  <c r="G65" i="2"/>
  <c r="O64" i="2"/>
  <c r="K63" i="4" l="1"/>
  <c r="G36" i="3"/>
  <c r="I64" i="4"/>
  <c r="G158" i="4"/>
  <c r="O157" i="4"/>
  <c r="G68" i="4"/>
  <c r="O67" i="4"/>
  <c r="C36" i="3"/>
  <c r="H35" i="3"/>
  <c r="I63" i="2"/>
  <c r="J63" i="2" s="1"/>
  <c r="K62" i="2"/>
  <c r="G66" i="2"/>
  <c r="O65" i="2"/>
  <c r="J62" i="2"/>
  <c r="K64" i="4" l="1"/>
  <c r="G37" i="3"/>
  <c r="I65" i="4"/>
  <c r="J64" i="4"/>
  <c r="G159" i="4"/>
  <c r="O158" i="4"/>
  <c r="G69" i="4"/>
  <c r="O68" i="4"/>
  <c r="H36" i="3"/>
  <c r="C37" i="3"/>
  <c r="O66" i="2"/>
  <c r="G67" i="2"/>
  <c r="I64" i="2"/>
  <c r="K63" i="2"/>
  <c r="K65" i="4" l="1"/>
  <c r="G38" i="3"/>
  <c r="I66" i="4"/>
  <c r="J65" i="4"/>
  <c r="G160" i="4"/>
  <c r="O159" i="4"/>
  <c r="O69" i="4"/>
  <c r="G70" i="4"/>
  <c r="C38" i="3"/>
  <c r="H37" i="3"/>
  <c r="K64" i="2"/>
  <c r="I65" i="2"/>
  <c r="J64" i="2"/>
  <c r="G68" i="2"/>
  <c r="O67" i="2"/>
  <c r="G39" i="3" l="1"/>
  <c r="I67" i="4"/>
  <c r="K66" i="4"/>
  <c r="J67" i="4"/>
  <c r="J66" i="4"/>
  <c r="G161" i="4"/>
  <c r="O160" i="4"/>
  <c r="O70" i="4"/>
  <c r="G71" i="4"/>
  <c r="C39" i="3"/>
  <c r="H38" i="3"/>
  <c r="K65" i="2"/>
  <c r="J65" i="2"/>
  <c r="I66" i="2"/>
  <c r="G69" i="2"/>
  <c r="O68" i="2"/>
  <c r="K67" i="4" l="1"/>
  <c r="G40" i="3"/>
  <c r="I68" i="4"/>
  <c r="G162" i="4"/>
  <c r="O161" i="4"/>
  <c r="G72" i="4"/>
  <c r="O71" i="4"/>
  <c r="C40" i="3"/>
  <c r="G70" i="2"/>
  <c r="O69" i="2"/>
  <c r="K66" i="2"/>
  <c r="I67" i="2"/>
  <c r="J67" i="2" s="1"/>
  <c r="H39" i="3"/>
  <c r="J66" i="2"/>
  <c r="G41" i="3" l="1"/>
  <c r="I69" i="4"/>
  <c r="J69" i="4"/>
  <c r="K68" i="4"/>
  <c r="J68" i="4"/>
  <c r="G163" i="4"/>
  <c r="O162" i="4"/>
  <c r="G73" i="4"/>
  <c r="O72" i="4"/>
  <c r="C41" i="3"/>
  <c r="H40" i="3"/>
  <c r="I68" i="2"/>
  <c r="J68" i="2" s="1"/>
  <c r="K67" i="2"/>
  <c r="O70" i="2"/>
  <c r="G71" i="2"/>
  <c r="K69" i="4" l="1"/>
  <c r="G42" i="3"/>
  <c r="I70" i="4"/>
  <c r="G164" i="4"/>
  <c r="O163" i="4"/>
  <c r="O73" i="4"/>
  <c r="G74" i="4"/>
  <c r="C42" i="3"/>
  <c r="H41" i="3"/>
  <c r="I69" i="2"/>
  <c r="J69" i="2" s="1"/>
  <c r="G72" i="2"/>
  <c r="O71" i="2"/>
  <c r="K68" i="2"/>
  <c r="K70" i="4" l="1"/>
  <c r="G43" i="3"/>
  <c r="I71" i="4"/>
  <c r="J70" i="4"/>
  <c r="G165" i="4"/>
  <c r="O164" i="4"/>
  <c r="O74" i="4"/>
  <c r="G75" i="4"/>
  <c r="C43" i="3"/>
  <c r="G73" i="2"/>
  <c r="O72" i="2"/>
  <c r="I70" i="2"/>
  <c r="J70" i="2" s="1"/>
  <c r="H42" i="3"/>
  <c r="K69" i="2"/>
  <c r="K71" i="4" l="1"/>
  <c r="G44" i="3"/>
  <c r="I72" i="4"/>
  <c r="J71" i="4"/>
  <c r="G166" i="4"/>
  <c r="O165" i="4"/>
  <c r="G76" i="4"/>
  <c r="O75" i="4"/>
  <c r="C44" i="3"/>
  <c r="H43" i="3"/>
  <c r="I71" i="2"/>
  <c r="J71" i="2" s="1"/>
  <c r="K70" i="2"/>
  <c r="G74" i="2"/>
  <c r="O73" i="2"/>
  <c r="K72" i="4" l="1"/>
  <c r="G45" i="3"/>
  <c r="I73" i="4"/>
  <c r="J72" i="4"/>
  <c r="G167" i="4"/>
  <c r="O166" i="4"/>
  <c r="G77" i="4"/>
  <c r="O76" i="4"/>
  <c r="C45" i="3"/>
  <c r="O74" i="2"/>
  <c r="G75" i="2"/>
  <c r="K71" i="2"/>
  <c r="H44" i="3"/>
  <c r="I72" i="2"/>
  <c r="J72" i="2" s="1"/>
  <c r="K73" i="4" l="1"/>
  <c r="G46" i="3"/>
  <c r="I74" i="4"/>
  <c r="J73" i="4"/>
  <c r="G168" i="4"/>
  <c r="O167" i="4"/>
  <c r="G78" i="4"/>
  <c r="O77" i="4"/>
  <c r="C46" i="3"/>
  <c r="H45" i="3"/>
  <c r="I73" i="2"/>
  <c r="G76" i="2"/>
  <c r="O75" i="2"/>
  <c r="K72" i="2"/>
  <c r="K74" i="4" l="1"/>
  <c r="G47" i="3"/>
  <c r="I75" i="4"/>
  <c r="J74" i="4"/>
  <c r="G169" i="4"/>
  <c r="O168" i="4"/>
  <c r="O78" i="4"/>
  <c r="G79" i="4"/>
  <c r="C47" i="3"/>
  <c r="H46" i="3"/>
  <c r="K73" i="2"/>
  <c r="G77" i="2"/>
  <c r="O76" i="2"/>
  <c r="J73" i="2"/>
  <c r="I74" i="2"/>
  <c r="K75" i="4" l="1"/>
  <c r="G48" i="3"/>
  <c r="I76" i="4"/>
  <c r="J75" i="4"/>
  <c r="G170" i="4"/>
  <c r="O169" i="4"/>
  <c r="O79" i="4"/>
  <c r="G80" i="4"/>
  <c r="C48" i="3"/>
  <c r="H47" i="3"/>
  <c r="K74" i="2"/>
  <c r="I75" i="2"/>
  <c r="J75" i="2" s="1"/>
  <c r="G78" i="2"/>
  <c r="O77" i="2"/>
  <c r="J74" i="2"/>
  <c r="K76" i="4" l="1"/>
  <c r="J76" i="4"/>
  <c r="G49" i="3"/>
  <c r="I77" i="4"/>
  <c r="G171" i="4"/>
  <c r="O170" i="4"/>
  <c r="O80" i="4"/>
  <c r="G81" i="4"/>
  <c r="H48" i="3"/>
  <c r="C49" i="3"/>
  <c r="O78" i="2"/>
  <c r="G79" i="2"/>
  <c r="I76" i="2"/>
  <c r="J76" i="2" s="1"/>
  <c r="K75" i="2"/>
  <c r="G50" i="3" l="1"/>
  <c r="I78" i="4"/>
  <c r="K77" i="4"/>
  <c r="J77" i="4"/>
  <c r="G172" i="4"/>
  <c r="O171" i="4"/>
  <c r="G82" i="4"/>
  <c r="O81" i="4"/>
  <c r="C50" i="3"/>
  <c r="H49" i="3"/>
  <c r="I77" i="2"/>
  <c r="J77" i="2" s="1"/>
  <c r="G80" i="2"/>
  <c r="O79" i="2"/>
  <c r="K76" i="2"/>
  <c r="K78" i="4" l="1"/>
  <c r="J79" i="4"/>
  <c r="J78" i="4"/>
  <c r="G51" i="3"/>
  <c r="I79" i="4"/>
  <c r="G173" i="4"/>
  <c r="O172" i="4"/>
  <c r="O82" i="4"/>
  <c r="G83" i="4"/>
  <c r="H50" i="3"/>
  <c r="C51" i="3"/>
  <c r="I78" i="2"/>
  <c r="J78" i="2" s="1"/>
  <c r="G81" i="2"/>
  <c r="O80" i="2"/>
  <c r="K77" i="2"/>
  <c r="G52" i="3" l="1"/>
  <c r="I80" i="4"/>
  <c r="K79" i="4"/>
  <c r="J80" i="4"/>
  <c r="G174" i="4"/>
  <c r="O173" i="4"/>
  <c r="O83" i="4"/>
  <c r="G84" i="4"/>
  <c r="C52" i="3"/>
  <c r="G82" i="2"/>
  <c r="O81" i="2"/>
  <c r="H51" i="3"/>
  <c r="I79" i="2"/>
  <c r="K78" i="2"/>
  <c r="K80" i="4" l="1"/>
  <c r="G53" i="3"/>
  <c r="I81" i="4"/>
  <c r="G175" i="4"/>
  <c r="O174" i="4"/>
  <c r="G85" i="4"/>
  <c r="O84" i="4"/>
  <c r="C53" i="3"/>
  <c r="K79" i="2"/>
  <c r="O82" i="2"/>
  <c r="G83" i="2"/>
  <c r="I80" i="2"/>
  <c r="H52" i="3"/>
  <c r="J79" i="2"/>
  <c r="K81" i="4" l="1"/>
  <c r="G54" i="3"/>
  <c r="I82" i="4"/>
  <c r="J81" i="4"/>
  <c r="G176" i="4"/>
  <c r="O175" i="4"/>
  <c r="G86" i="4"/>
  <c r="O85" i="4"/>
  <c r="C54" i="3"/>
  <c r="G84" i="2"/>
  <c r="O83" i="2"/>
  <c r="I81" i="2"/>
  <c r="H53" i="3"/>
  <c r="K80" i="2"/>
  <c r="J80" i="2"/>
  <c r="G55" i="3" l="1"/>
  <c r="I83" i="4"/>
  <c r="K82" i="4"/>
  <c r="J83" i="4"/>
  <c r="J82" i="4"/>
  <c r="G177" i="4"/>
  <c r="O176" i="4"/>
  <c r="G87" i="4"/>
  <c r="O86" i="4"/>
  <c r="C55" i="3"/>
  <c r="K81" i="2"/>
  <c r="J81" i="2"/>
  <c r="H54" i="3"/>
  <c r="I82" i="2"/>
  <c r="G85" i="2"/>
  <c r="O84" i="2"/>
  <c r="K83" i="4" l="1"/>
  <c r="G56" i="3"/>
  <c r="I84" i="4"/>
  <c r="G178" i="4"/>
  <c r="O177" i="4"/>
  <c r="O87" i="4"/>
  <c r="G88" i="4"/>
  <c r="C56" i="3"/>
  <c r="H55" i="3"/>
  <c r="K82" i="2"/>
  <c r="I83" i="2"/>
  <c r="J83" i="2" s="1"/>
  <c r="G86" i="2"/>
  <c r="O85" i="2"/>
  <c r="J82" i="2"/>
  <c r="K84" i="4" l="1"/>
  <c r="G57" i="3"/>
  <c r="I85" i="4"/>
  <c r="J84" i="4"/>
  <c r="G179" i="4"/>
  <c r="O178" i="4"/>
  <c r="G89" i="4"/>
  <c r="O88" i="4"/>
  <c r="C57" i="3"/>
  <c r="H56" i="3"/>
  <c r="I84" i="2"/>
  <c r="O86" i="2"/>
  <c r="G87" i="2"/>
  <c r="K83" i="2"/>
  <c r="K85" i="4" l="1"/>
  <c r="G58" i="3"/>
  <c r="I86" i="4"/>
  <c r="J85" i="4"/>
  <c r="G180" i="4"/>
  <c r="O179" i="4"/>
  <c r="G90" i="4"/>
  <c r="O89" i="4"/>
  <c r="H57" i="3"/>
  <c r="C58" i="3"/>
  <c r="K84" i="2"/>
  <c r="I85" i="2"/>
  <c r="J85" i="2" s="1"/>
  <c r="J84" i="2"/>
  <c r="G88" i="2"/>
  <c r="O87" i="2"/>
  <c r="K86" i="4" l="1"/>
  <c r="G59" i="3"/>
  <c r="I87" i="4"/>
  <c r="J86" i="4"/>
  <c r="G181" i="4"/>
  <c r="O180" i="4"/>
  <c r="G91" i="4"/>
  <c r="O90" i="4"/>
  <c r="C59" i="3"/>
  <c r="H58" i="3"/>
  <c r="G89" i="2"/>
  <c r="O88" i="2"/>
  <c r="K85" i="2"/>
  <c r="I86" i="2"/>
  <c r="J86" i="2" s="1"/>
  <c r="K87" i="4" l="1"/>
  <c r="G60" i="3"/>
  <c r="I88" i="4"/>
  <c r="J87" i="4"/>
  <c r="G182" i="4"/>
  <c r="O181" i="4"/>
  <c r="O91" i="4"/>
  <c r="G92" i="4"/>
  <c r="C60" i="3"/>
  <c r="I87" i="2"/>
  <c r="J87" i="2" s="1"/>
  <c r="H59" i="3"/>
  <c r="K86" i="2"/>
  <c r="G90" i="2"/>
  <c r="O89" i="2"/>
  <c r="K88" i="4" l="1"/>
  <c r="G61" i="3"/>
  <c r="I89" i="4"/>
  <c r="J88" i="4"/>
  <c r="G183" i="4"/>
  <c r="O182" i="4"/>
  <c r="O92" i="4"/>
  <c r="C61" i="3"/>
  <c r="H60" i="3"/>
  <c r="I88" i="2"/>
  <c r="O90" i="2"/>
  <c r="G91" i="2"/>
  <c r="K87" i="2"/>
  <c r="K89" i="4" l="1"/>
  <c r="G62" i="3"/>
  <c r="I90" i="4"/>
  <c r="J89" i="4"/>
  <c r="G184" i="4"/>
  <c r="O183" i="4"/>
  <c r="O93" i="4"/>
  <c r="C62" i="3"/>
  <c r="H61" i="3"/>
  <c r="K88" i="2"/>
  <c r="J88" i="2"/>
  <c r="I89" i="2"/>
  <c r="G92" i="2"/>
  <c r="O91" i="2"/>
  <c r="G63" i="3" l="1"/>
  <c r="I91" i="4"/>
  <c r="J91" i="4"/>
  <c r="K90" i="4"/>
  <c r="J90" i="4"/>
  <c r="G185" i="4"/>
  <c r="O184" i="4"/>
  <c r="O94" i="4"/>
  <c r="C63" i="3"/>
  <c r="H62" i="3"/>
  <c r="K89" i="2"/>
  <c r="I90" i="2"/>
  <c r="J90" i="2" s="1"/>
  <c r="G93" i="2"/>
  <c r="O92" i="2"/>
  <c r="J89" i="2"/>
  <c r="K91" i="4" l="1"/>
  <c r="G64" i="3"/>
  <c r="I92" i="4"/>
  <c r="G186" i="4"/>
  <c r="O185" i="4"/>
  <c r="O95" i="4"/>
  <c r="C64" i="3"/>
  <c r="H63" i="3"/>
  <c r="G94" i="2"/>
  <c r="O93" i="2"/>
  <c r="K90" i="2"/>
  <c r="I91" i="2"/>
  <c r="J91" i="2" s="1"/>
  <c r="K92" i="4" l="1"/>
  <c r="G65" i="3"/>
  <c r="I93" i="4"/>
  <c r="J93" i="4" s="1"/>
  <c r="J92" i="4"/>
  <c r="G187" i="4"/>
  <c r="O186" i="4"/>
  <c r="O96" i="4"/>
  <c r="C65" i="3"/>
  <c r="H64" i="3"/>
  <c r="I92" i="2"/>
  <c r="K91" i="2"/>
  <c r="O94" i="2"/>
  <c r="G95" i="2"/>
  <c r="K93" i="4" l="1"/>
  <c r="G66" i="3"/>
  <c r="I94" i="4"/>
  <c r="G188" i="4"/>
  <c r="O187" i="4"/>
  <c r="O98" i="4"/>
  <c r="O97" i="4"/>
  <c r="C66" i="3"/>
  <c r="H65" i="3"/>
  <c r="K92" i="2"/>
  <c r="J92" i="2"/>
  <c r="O95" i="2"/>
  <c r="G96" i="2"/>
  <c r="I93" i="2"/>
  <c r="J93" i="2" s="1"/>
  <c r="K94" i="4" l="1"/>
  <c r="G67" i="3"/>
  <c r="I95" i="4"/>
  <c r="J95" i="4" s="1"/>
  <c r="J94" i="4"/>
  <c r="G189" i="4"/>
  <c r="O188" i="4"/>
  <c r="C67" i="3"/>
  <c r="H66" i="3"/>
  <c r="I94" i="2"/>
  <c r="J94" i="2" s="1"/>
  <c r="K93" i="2"/>
  <c r="O96" i="2"/>
  <c r="G97" i="2"/>
  <c r="K95" i="4" l="1"/>
  <c r="G68" i="3"/>
  <c r="I96" i="4"/>
  <c r="G190" i="4"/>
  <c r="O189" i="4"/>
  <c r="H67" i="3"/>
  <c r="C68" i="3"/>
  <c r="G98" i="2"/>
  <c r="O98" i="2" s="1"/>
  <c r="O97" i="2"/>
  <c r="I95" i="2"/>
  <c r="J95" i="2" s="1"/>
  <c r="K94" i="2"/>
  <c r="K96" i="4" l="1"/>
  <c r="G69" i="3"/>
  <c r="I97" i="4"/>
  <c r="J96" i="4"/>
  <c r="G191" i="4"/>
  <c r="O190" i="4"/>
  <c r="H68" i="3"/>
  <c r="C69" i="3"/>
  <c r="I96" i="2"/>
  <c r="J96" i="2" s="1"/>
  <c r="K95" i="2"/>
  <c r="K97" i="4" l="1"/>
  <c r="G70" i="3"/>
  <c r="I98" i="4"/>
  <c r="J97" i="4"/>
  <c r="G192" i="4"/>
  <c r="O191" i="4"/>
  <c r="H69" i="3"/>
  <c r="C70" i="3"/>
  <c r="I97" i="2"/>
  <c r="J97" i="2" s="1"/>
  <c r="K96" i="2"/>
  <c r="G71" i="3" l="1"/>
  <c r="I99" i="4"/>
  <c r="J99" i="4"/>
  <c r="K98" i="4"/>
  <c r="J98" i="4"/>
  <c r="G193" i="4"/>
  <c r="O192" i="4"/>
  <c r="H70" i="3"/>
  <c r="C71" i="3"/>
  <c r="K97" i="2"/>
  <c r="I98" i="2"/>
  <c r="J98" i="2" s="1"/>
  <c r="K99" i="4" l="1"/>
  <c r="G72" i="3"/>
  <c r="I100" i="4"/>
  <c r="G194" i="4"/>
  <c r="O193" i="4"/>
  <c r="C72" i="3"/>
  <c r="H71" i="3"/>
  <c r="K98" i="2"/>
  <c r="I99" i="2"/>
  <c r="K100" i="4" l="1"/>
  <c r="G73" i="3"/>
  <c r="I101" i="4"/>
  <c r="J100" i="4"/>
  <c r="G195" i="4"/>
  <c r="O194" i="4"/>
  <c r="C73" i="3"/>
  <c r="K99" i="2"/>
  <c r="I100" i="2"/>
  <c r="J100" i="2" s="1"/>
  <c r="H72" i="3"/>
  <c r="J99" i="2"/>
  <c r="K101" i="4" l="1"/>
  <c r="G74" i="3"/>
  <c r="I102" i="4"/>
  <c r="J102" i="4" s="1"/>
  <c r="J101" i="4"/>
  <c r="G196" i="4"/>
  <c r="O195" i="4"/>
  <c r="C74" i="3"/>
  <c r="I101" i="2"/>
  <c r="J101" i="2" s="1"/>
  <c r="H73" i="3"/>
  <c r="K100" i="2"/>
  <c r="K102" i="4" l="1"/>
  <c r="G75" i="3"/>
  <c r="I103" i="4"/>
  <c r="G197" i="4"/>
  <c r="O196" i="4"/>
  <c r="C75" i="3"/>
  <c r="K101" i="2"/>
  <c r="I102" i="2"/>
  <c r="J102" i="2" s="1"/>
  <c r="H74" i="3"/>
  <c r="K103" i="4" l="1"/>
  <c r="G76" i="3"/>
  <c r="I104" i="4"/>
  <c r="J103" i="4"/>
  <c r="G198" i="4"/>
  <c r="O197" i="4"/>
  <c r="C76" i="3"/>
  <c r="I103" i="2"/>
  <c r="J103" i="2" s="1"/>
  <c r="H75" i="3"/>
  <c r="K102" i="2"/>
  <c r="K104" i="4" l="1"/>
  <c r="G77" i="3"/>
  <c r="I105" i="4"/>
  <c r="J104" i="4"/>
  <c r="G199" i="4"/>
  <c r="O198" i="4"/>
  <c r="H76" i="3"/>
  <c r="C77" i="3"/>
  <c r="I104" i="2"/>
  <c r="J104" i="2" s="1"/>
  <c r="K103" i="2"/>
  <c r="G78" i="3" l="1"/>
  <c r="I106" i="4"/>
  <c r="J106" i="4"/>
  <c r="K105" i="4"/>
  <c r="J105" i="4"/>
  <c r="G200" i="4"/>
  <c r="O199" i="4"/>
  <c r="H77" i="3"/>
  <c r="C78" i="3"/>
  <c r="K104" i="2"/>
  <c r="I105" i="2"/>
  <c r="K106" i="4" l="1"/>
  <c r="G79" i="3"/>
  <c r="I107" i="4"/>
  <c r="G201" i="4"/>
  <c r="O200" i="4"/>
  <c r="C79" i="3"/>
  <c r="H78" i="3"/>
  <c r="K105" i="2"/>
  <c r="J105" i="2"/>
  <c r="I106" i="2"/>
  <c r="K107" i="4" l="1"/>
  <c r="G80" i="3"/>
  <c r="I108" i="4"/>
  <c r="J107" i="4"/>
  <c r="G202" i="4"/>
  <c r="O201" i="4"/>
  <c r="C80" i="3"/>
  <c r="H79" i="3"/>
  <c r="K106" i="2"/>
  <c r="I107" i="2"/>
  <c r="J107" i="2" s="1"/>
  <c r="J106" i="2"/>
  <c r="K108" i="4" l="1"/>
  <c r="G81" i="3"/>
  <c r="I109" i="4"/>
  <c r="J108" i="4"/>
  <c r="G203" i="4"/>
  <c r="O202" i="4"/>
  <c r="H80" i="3"/>
  <c r="C81" i="3"/>
  <c r="I108" i="2"/>
  <c r="J108" i="2" s="1"/>
  <c r="K107" i="2"/>
  <c r="G82" i="3" l="1"/>
  <c r="I110" i="4"/>
  <c r="K109" i="4"/>
  <c r="J110" i="4"/>
  <c r="J109" i="4"/>
  <c r="G204" i="4"/>
  <c r="O203" i="4"/>
  <c r="C82" i="3"/>
  <c r="H81" i="3"/>
  <c r="I109" i="2"/>
  <c r="J109" i="2" s="1"/>
  <c r="K108" i="2"/>
  <c r="K110" i="4" l="1"/>
  <c r="G83" i="3"/>
  <c r="I111" i="4"/>
  <c r="G205" i="4"/>
  <c r="O204" i="4"/>
  <c r="C83" i="3"/>
  <c r="H82" i="3"/>
  <c r="I110" i="2"/>
  <c r="J110" i="2" s="1"/>
  <c r="K109" i="2"/>
  <c r="K111" i="4" l="1"/>
  <c r="G84" i="3"/>
  <c r="I112" i="4"/>
  <c r="J112" i="4" s="1"/>
  <c r="J111" i="4"/>
  <c r="G206" i="4"/>
  <c r="O205" i="4"/>
  <c r="C84" i="3"/>
  <c r="H83" i="3"/>
  <c r="I111" i="2"/>
  <c r="J111" i="2" s="1"/>
  <c r="K110" i="2"/>
  <c r="G85" i="3" l="1"/>
  <c r="I113" i="4"/>
  <c r="K112" i="4"/>
  <c r="O206" i="4"/>
  <c r="G207" i="4"/>
  <c r="C85" i="3"/>
  <c r="H84" i="3"/>
  <c r="I112" i="2"/>
  <c r="J112" i="2" s="1"/>
  <c r="K111" i="2"/>
  <c r="K113" i="4" l="1"/>
  <c r="J113" i="4"/>
  <c r="G86" i="3"/>
  <c r="I114" i="4"/>
  <c r="G208" i="4"/>
  <c r="O207" i="4"/>
  <c r="H85" i="3"/>
  <c r="C86" i="3"/>
  <c r="K112" i="2"/>
  <c r="I113" i="2"/>
  <c r="G87" i="3" l="1"/>
  <c r="I115" i="4"/>
  <c r="J115" i="4" s="1"/>
  <c r="K114" i="4"/>
  <c r="J114" i="4"/>
  <c r="G209" i="4"/>
  <c r="O208" i="4"/>
  <c r="J113" i="2"/>
  <c r="K113" i="2"/>
  <c r="C87" i="3"/>
  <c r="H86" i="3"/>
  <c r="I114" i="2"/>
  <c r="K114" i="2" s="1"/>
  <c r="K115" i="4" l="1"/>
  <c r="G88" i="3"/>
  <c r="I116" i="4"/>
  <c r="G210" i="4"/>
  <c r="O209" i="4"/>
  <c r="H87" i="3"/>
  <c r="C88" i="3"/>
  <c r="I115" i="2"/>
  <c r="K115" i="2" s="1"/>
  <c r="J114" i="2"/>
  <c r="K116" i="4" l="1"/>
  <c r="G89" i="3"/>
  <c r="I117" i="4"/>
  <c r="J116" i="4"/>
  <c r="G211" i="4"/>
  <c r="O210" i="4"/>
  <c r="J115" i="2"/>
  <c r="C89" i="3"/>
  <c r="H88" i="3"/>
  <c r="I116" i="2"/>
  <c r="K117" i="4" l="1"/>
  <c r="G90" i="3"/>
  <c r="I118" i="4"/>
  <c r="J117" i="4"/>
  <c r="G212" i="4"/>
  <c r="O211" i="4"/>
  <c r="C90" i="3"/>
  <c r="H89" i="3"/>
  <c r="I117" i="2"/>
  <c r="J116" i="2"/>
  <c r="K118" i="4" l="1"/>
  <c r="J119" i="4"/>
  <c r="J118" i="4"/>
  <c r="G91" i="3"/>
  <c r="I119" i="4"/>
  <c r="G213" i="4"/>
  <c r="O212" i="4"/>
  <c r="C91" i="3"/>
  <c r="H90" i="3"/>
  <c r="I118" i="2"/>
  <c r="J117" i="2"/>
  <c r="G92" i="3" l="1"/>
  <c r="I120" i="4"/>
  <c r="K119" i="4"/>
  <c r="J120" i="4"/>
  <c r="G214" i="4"/>
  <c r="O213" i="4"/>
  <c r="H91" i="3"/>
  <c r="C92" i="3"/>
  <c r="I119" i="2"/>
  <c r="J118" i="2"/>
  <c r="K120" i="4" l="1"/>
  <c r="G93" i="3"/>
  <c r="I121" i="4"/>
  <c r="O214" i="4"/>
  <c r="G215" i="4"/>
  <c r="C93" i="3"/>
  <c r="H92" i="3"/>
  <c r="I120" i="2"/>
  <c r="J120" i="2" s="1"/>
  <c r="J119" i="2"/>
  <c r="K121" i="4" l="1"/>
  <c r="J121" i="4"/>
  <c r="G94" i="3"/>
  <c r="I122" i="4"/>
  <c r="J122" i="4" s="1"/>
  <c r="G216" i="4"/>
  <c r="O215" i="4"/>
  <c r="C94" i="3"/>
  <c r="H93" i="3"/>
  <c r="I121" i="2"/>
  <c r="G95" i="3" l="1"/>
  <c r="I123" i="4"/>
  <c r="K122" i="4"/>
  <c r="J123" i="4"/>
  <c r="G217" i="4"/>
  <c r="O216" i="4"/>
  <c r="H94" i="3"/>
  <c r="C95" i="3"/>
  <c r="J121" i="2"/>
  <c r="I122" i="2"/>
  <c r="K123" i="4" l="1"/>
  <c r="G96" i="3"/>
  <c r="I124" i="4"/>
  <c r="J124" i="4" s="1"/>
  <c r="G218" i="4"/>
  <c r="O217" i="4"/>
  <c r="H95" i="3"/>
  <c r="C96" i="3"/>
  <c r="I123" i="2"/>
  <c r="J122" i="2"/>
  <c r="K124" i="4" l="1"/>
  <c r="G97" i="3"/>
  <c r="I125" i="4"/>
  <c r="J125" i="4" s="1"/>
  <c r="O218" i="4"/>
  <c r="G219" i="4"/>
  <c r="C97" i="3"/>
  <c r="H96" i="3"/>
  <c r="I124" i="2"/>
  <c r="J124" i="2" s="1"/>
  <c r="J123" i="2"/>
  <c r="K125" i="4" l="1"/>
  <c r="G98" i="3"/>
  <c r="I126" i="4"/>
  <c r="J126" i="4" s="1"/>
  <c r="G220" i="4"/>
  <c r="O219" i="4"/>
  <c r="H97" i="3"/>
  <c r="C98" i="3"/>
  <c r="I125" i="2"/>
  <c r="K126" i="4" l="1"/>
  <c r="G99" i="3"/>
  <c r="I127" i="4"/>
  <c r="J127" i="4" s="1"/>
  <c r="G221" i="4"/>
  <c r="O220" i="4"/>
  <c r="C99" i="3"/>
  <c r="H98" i="3"/>
  <c r="I126" i="2"/>
  <c r="J125" i="2"/>
  <c r="G100" i="3" l="1"/>
  <c r="I128" i="4"/>
  <c r="K127" i="4"/>
  <c r="J128" i="4"/>
  <c r="G222" i="4"/>
  <c r="O221" i="4"/>
  <c r="C100" i="3"/>
  <c r="I127" i="2"/>
  <c r="J127" i="2" s="1"/>
  <c r="H99" i="3"/>
  <c r="J126" i="2"/>
  <c r="K128" i="4" l="1"/>
  <c r="G101" i="3"/>
  <c r="I129" i="4"/>
  <c r="J129" i="4" s="1"/>
  <c r="O222" i="4"/>
  <c r="G223" i="4"/>
  <c r="H100" i="3"/>
  <c r="C101" i="3"/>
  <c r="I128" i="2"/>
  <c r="J128" i="2" s="1"/>
  <c r="K129" i="4" l="1"/>
  <c r="G102" i="3"/>
  <c r="I130" i="4"/>
  <c r="J130" i="4" s="1"/>
  <c r="G224" i="4"/>
  <c r="O223" i="4"/>
  <c r="C102" i="3"/>
  <c r="I129" i="2"/>
  <c r="H101" i="3"/>
  <c r="K130" i="4" l="1"/>
  <c r="G103" i="3"/>
  <c r="I131" i="4"/>
  <c r="G225" i="4"/>
  <c r="O224" i="4"/>
  <c r="C103" i="3"/>
  <c r="H102" i="3"/>
  <c r="I130" i="2"/>
  <c r="J130" i="2" s="1"/>
  <c r="J129" i="2"/>
  <c r="K131" i="4" l="1"/>
  <c r="J132" i="4"/>
  <c r="J131" i="4"/>
  <c r="G104" i="3"/>
  <c r="I132" i="4"/>
  <c r="G226" i="4"/>
  <c r="O225" i="4"/>
  <c r="H103" i="3"/>
  <c r="C104" i="3"/>
  <c r="I131" i="2"/>
  <c r="J131" i="2" s="1"/>
  <c r="G105" i="3" l="1"/>
  <c r="I133" i="4"/>
  <c r="K132" i="4"/>
  <c r="J133" i="4"/>
  <c r="G227" i="4"/>
  <c r="O226" i="4"/>
  <c r="C105" i="3"/>
  <c r="H104" i="3"/>
  <c r="I132" i="2"/>
  <c r="J132" i="2" s="1"/>
  <c r="K133" i="4" l="1"/>
  <c r="G106" i="3"/>
  <c r="I134" i="4"/>
  <c r="G228" i="4"/>
  <c r="O227" i="4"/>
  <c r="C106" i="3"/>
  <c r="I133" i="2"/>
  <c r="J133" i="2" s="1"/>
  <c r="H105" i="3"/>
  <c r="G107" i="3" l="1"/>
  <c r="I135" i="4"/>
  <c r="K134" i="4"/>
  <c r="J135" i="4"/>
  <c r="J134" i="4"/>
  <c r="G229" i="4"/>
  <c r="O228" i="4"/>
  <c r="C107" i="3"/>
  <c r="H106" i="3"/>
  <c r="I134" i="2"/>
  <c r="J134" i="2" s="1"/>
  <c r="K135" i="4" l="1"/>
  <c r="G108" i="3"/>
  <c r="I136" i="4"/>
  <c r="G230" i="4"/>
  <c r="O229" i="4"/>
  <c r="H107" i="3"/>
  <c r="C108" i="3"/>
  <c r="I135" i="2"/>
  <c r="K136" i="4" l="1"/>
  <c r="G109" i="3"/>
  <c r="I137" i="4"/>
  <c r="J136" i="4"/>
  <c r="O230" i="4"/>
  <c r="G231" i="4"/>
  <c r="C109" i="3"/>
  <c r="H108" i="3"/>
  <c r="I136" i="2"/>
  <c r="J135" i="2"/>
  <c r="K137" i="4" l="1"/>
  <c r="G110" i="3"/>
  <c r="I138" i="4"/>
  <c r="J137" i="4"/>
  <c r="G232" i="4"/>
  <c r="O231" i="4"/>
  <c r="C110" i="3"/>
  <c r="I137" i="2"/>
  <c r="H109" i="3"/>
  <c r="J136" i="2"/>
  <c r="K138" i="4" l="1"/>
  <c r="G111" i="3"/>
  <c r="I139" i="4"/>
  <c r="J138" i="4"/>
  <c r="G233" i="4"/>
  <c r="O232" i="4"/>
  <c r="C111" i="3"/>
  <c r="H110" i="3"/>
  <c r="I138" i="2"/>
  <c r="J137" i="2"/>
  <c r="G112" i="3" l="1"/>
  <c r="I140" i="4"/>
  <c r="K139" i="4"/>
  <c r="J140" i="4"/>
  <c r="J139" i="4"/>
  <c r="G234" i="4"/>
  <c r="O233" i="4"/>
  <c r="C112" i="3"/>
  <c r="J138" i="2"/>
  <c r="H111" i="3"/>
  <c r="I139" i="2"/>
  <c r="K140" i="4" l="1"/>
  <c r="G113" i="3"/>
  <c r="I141" i="4"/>
  <c r="J141" i="4" s="1"/>
  <c r="O234" i="4"/>
  <c r="G235" i="4"/>
  <c r="C113" i="3"/>
  <c r="H112" i="3"/>
  <c r="I140" i="2"/>
  <c r="J140" i="2" s="1"/>
  <c r="J139" i="2"/>
  <c r="G114" i="3" l="1"/>
  <c r="I142" i="4"/>
  <c r="K141" i="4"/>
  <c r="J142" i="4"/>
  <c r="G236" i="4"/>
  <c r="O235" i="4"/>
  <c r="H113" i="3"/>
  <c r="C114" i="3"/>
  <c r="I141" i="2"/>
  <c r="J141" i="2" s="1"/>
  <c r="K142" i="4" l="1"/>
  <c r="G115" i="3"/>
  <c r="I143" i="4"/>
  <c r="G237" i="4"/>
  <c r="O236" i="4"/>
  <c r="C115" i="3"/>
  <c r="H114" i="3"/>
  <c r="I142" i="2"/>
  <c r="G116" i="3" l="1"/>
  <c r="I144" i="4"/>
  <c r="K143" i="4"/>
  <c r="J144" i="4"/>
  <c r="J143" i="4"/>
  <c r="G238" i="4"/>
  <c r="O237" i="4"/>
  <c r="C116" i="3"/>
  <c r="H115" i="3"/>
  <c r="J142" i="2"/>
  <c r="I143" i="2"/>
  <c r="J143" i="2" s="1"/>
  <c r="K144" i="4" l="1"/>
  <c r="G117" i="3"/>
  <c r="I145" i="4"/>
  <c r="O238" i="4"/>
  <c r="G239" i="4"/>
  <c r="C117" i="3"/>
  <c r="I144" i="2"/>
  <c r="J144" i="2" s="1"/>
  <c r="H116" i="3"/>
  <c r="G118" i="3" l="1"/>
  <c r="I146" i="4"/>
  <c r="J146" i="4" s="1"/>
  <c r="K145" i="4"/>
  <c r="J145" i="4"/>
  <c r="G240" i="4"/>
  <c r="O239" i="4"/>
  <c r="H117" i="3"/>
  <c r="C118" i="3"/>
  <c r="I145" i="2"/>
  <c r="K146" i="4" l="1"/>
  <c r="G119" i="3"/>
  <c r="I147" i="4"/>
  <c r="G241" i="4"/>
  <c r="O240" i="4"/>
  <c r="C119" i="3"/>
  <c r="H118" i="3"/>
  <c r="I146" i="2"/>
  <c r="J146" i="2" s="1"/>
  <c r="J145" i="2"/>
  <c r="K147" i="4" l="1"/>
  <c r="G120" i="3"/>
  <c r="I148" i="4"/>
  <c r="J147" i="4"/>
  <c r="G242" i="4"/>
  <c r="O241" i="4"/>
  <c r="H119" i="3"/>
  <c r="C120" i="3"/>
  <c r="I147" i="2"/>
  <c r="J147" i="2" s="1"/>
  <c r="K148" i="4" l="1"/>
  <c r="G121" i="3"/>
  <c r="I149" i="4"/>
  <c r="J148" i="4"/>
  <c r="G243" i="4"/>
  <c r="O242" i="4"/>
  <c r="C121" i="3"/>
  <c r="H120" i="3"/>
  <c r="I148" i="2"/>
  <c r="G122" i="3" l="1"/>
  <c r="I150" i="4"/>
  <c r="K149" i="4"/>
  <c r="J150" i="4"/>
  <c r="J149" i="4"/>
  <c r="G244" i="4"/>
  <c r="O243" i="4"/>
  <c r="H121" i="3"/>
  <c r="C122" i="3"/>
  <c r="J148" i="2"/>
  <c r="I149" i="2"/>
  <c r="K150" i="4" l="1"/>
  <c r="G123" i="3"/>
  <c r="I151" i="4"/>
  <c r="G245" i="4"/>
  <c r="O244" i="4"/>
  <c r="C123" i="3"/>
  <c r="H122" i="3"/>
  <c r="I150" i="2"/>
  <c r="J150" i="2" s="1"/>
  <c r="J149" i="2"/>
  <c r="G124" i="3" l="1"/>
  <c r="I152" i="4"/>
  <c r="K151" i="4"/>
  <c r="J152" i="4"/>
  <c r="J151" i="4"/>
  <c r="G246" i="4"/>
  <c r="O245" i="4"/>
  <c r="H123" i="3"/>
  <c r="C124" i="3"/>
  <c r="I151" i="2"/>
  <c r="J151" i="2" s="1"/>
  <c r="K152" i="4" l="1"/>
  <c r="G125" i="3"/>
  <c r="I153" i="4"/>
  <c r="J153" i="4" s="1"/>
  <c r="O246" i="4"/>
  <c r="G247" i="4"/>
  <c r="C125" i="3"/>
  <c r="H124" i="3"/>
  <c r="I152" i="2"/>
  <c r="G126" i="3" l="1"/>
  <c r="I154" i="4"/>
  <c r="K153" i="4"/>
  <c r="J154" i="4"/>
  <c r="G248" i="4"/>
  <c r="O247" i="4"/>
  <c r="C126" i="3"/>
  <c r="H125" i="3"/>
  <c r="J152" i="2"/>
  <c r="I153" i="2"/>
  <c r="K154" i="4" l="1"/>
  <c r="G127" i="3"/>
  <c r="I155" i="4"/>
  <c r="J155" i="4" s="1"/>
  <c r="G249" i="4"/>
  <c r="O248" i="4"/>
  <c r="C127" i="3"/>
  <c r="H126" i="3"/>
  <c r="I154" i="2"/>
  <c r="J154" i="2" s="1"/>
  <c r="J153" i="2"/>
  <c r="G128" i="3" l="1"/>
  <c r="I156" i="4"/>
  <c r="K155" i="4"/>
  <c r="J156" i="4"/>
  <c r="G250" i="4"/>
  <c r="O249" i="4"/>
  <c r="C128" i="3"/>
  <c r="H127" i="3"/>
  <c r="I155" i="2"/>
  <c r="K156" i="4" l="1"/>
  <c r="G129" i="3"/>
  <c r="I157" i="4"/>
  <c r="J157" i="4" s="1"/>
  <c r="O250" i="4"/>
  <c r="G251" i="4"/>
  <c r="C129" i="3"/>
  <c r="H128" i="3"/>
  <c r="I156" i="2"/>
  <c r="J156" i="2" s="1"/>
  <c r="J155" i="2"/>
  <c r="G130" i="3" l="1"/>
  <c r="I158" i="4"/>
  <c r="K157" i="4"/>
  <c r="J158" i="4"/>
  <c r="G252" i="4"/>
  <c r="O251" i="4"/>
  <c r="C130" i="3"/>
  <c r="H129" i="3"/>
  <c r="I157" i="2"/>
  <c r="K158" i="4" l="1"/>
  <c r="G131" i="3"/>
  <c r="I159" i="4"/>
  <c r="G253" i="4"/>
  <c r="O252" i="4"/>
  <c r="C131" i="3"/>
  <c r="H130" i="3"/>
  <c r="I158" i="2"/>
  <c r="J157" i="2"/>
  <c r="K159" i="4" l="1"/>
  <c r="G132" i="3"/>
  <c r="I160" i="4"/>
  <c r="J159" i="4"/>
  <c r="G254" i="4"/>
  <c r="O253" i="4"/>
  <c r="C132" i="3"/>
  <c r="H131" i="3"/>
  <c r="J158" i="2"/>
  <c r="I159" i="2"/>
  <c r="G133" i="3" l="1"/>
  <c r="I161" i="4"/>
  <c r="K160" i="4"/>
  <c r="J161" i="4"/>
  <c r="J160" i="4"/>
  <c r="O254" i="4"/>
  <c r="G255" i="4"/>
  <c r="C133" i="3"/>
  <c r="H132" i="3"/>
  <c r="I160" i="2"/>
  <c r="J160" i="2" s="1"/>
  <c r="J159" i="2"/>
  <c r="K161" i="4" l="1"/>
  <c r="G134" i="3"/>
  <c r="I162" i="4"/>
  <c r="J162" i="4" s="1"/>
  <c r="G256" i="4"/>
  <c r="O255" i="4"/>
  <c r="C134" i="3"/>
  <c r="H133" i="3"/>
  <c r="I161" i="2"/>
  <c r="J161" i="2" s="1"/>
  <c r="K162" i="4" l="1"/>
  <c r="G135" i="3"/>
  <c r="I163" i="4"/>
  <c r="G257" i="4"/>
  <c r="O256" i="4"/>
  <c r="H134" i="3"/>
  <c r="C135" i="3"/>
  <c r="I162" i="2"/>
  <c r="K163" i="4" l="1"/>
  <c r="G136" i="3"/>
  <c r="I164" i="4"/>
  <c r="J164" i="4" s="1"/>
  <c r="J163" i="4"/>
  <c r="G258" i="4"/>
  <c r="O257" i="4"/>
  <c r="C136" i="3"/>
  <c r="H135" i="3"/>
  <c r="J162" i="2"/>
  <c r="I163" i="2"/>
  <c r="J163" i="2" s="1"/>
  <c r="G137" i="3" l="1"/>
  <c r="I165" i="4"/>
  <c r="K164" i="4"/>
  <c r="J165" i="4"/>
  <c r="G259" i="4"/>
  <c r="O258" i="4"/>
  <c r="C137" i="3"/>
  <c r="H136" i="3"/>
  <c r="I164" i="2"/>
  <c r="J164" i="2" s="1"/>
  <c r="K165" i="4" l="1"/>
  <c r="G138" i="3"/>
  <c r="I166" i="4"/>
  <c r="G260" i="4"/>
  <c r="O259" i="4"/>
  <c r="C138" i="3"/>
  <c r="I165" i="2"/>
  <c r="J165" i="2" s="1"/>
  <c r="H137" i="3"/>
  <c r="K166" i="4" l="1"/>
  <c r="J167" i="4"/>
  <c r="J166" i="4"/>
  <c r="G139" i="3"/>
  <c r="I167" i="4"/>
  <c r="G261" i="4"/>
  <c r="O260" i="4"/>
  <c r="C139" i="3"/>
  <c r="H138" i="3"/>
  <c r="I166" i="2"/>
  <c r="G140" i="3" l="1"/>
  <c r="I168" i="4"/>
  <c r="K167" i="4"/>
  <c r="J168" i="4"/>
  <c r="G262" i="4"/>
  <c r="O261" i="4"/>
  <c r="C140" i="3"/>
  <c r="H139" i="3"/>
  <c r="I167" i="2"/>
  <c r="J167" i="2" s="1"/>
  <c r="J166" i="2"/>
  <c r="K168" i="4" l="1"/>
  <c r="G141" i="3"/>
  <c r="I169" i="4"/>
  <c r="J169" i="4" s="1"/>
  <c r="O262" i="4"/>
  <c r="G263" i="4"/>
  <c r="C141" i="3"/>
  <c r="H140" i="3"/>
  <c r="I168" i="2"/>
  <c r="G142" i="3" l="1"/>
  <c r="I170" i="4"/>
  <c r="K169" i="4"/>
  <c r="J170" i="4"/>
  <c r="G264" i="4"/>
  <c r="O263" i="4"/>
  <c r="H141" i="3"/>
  <c r="C142" i="3"/>
  <c r="J168" i="2"/>
  <c r="I169" i="2"/>
  <c r="K170" i="4" l="1"/>
  <c r="G143" i="3"/>
  <c r="I171" i="4"/>
  <c r="J171" i="4" s="1"/>
  <c r="G265" i="4"/>
  <c r="O264" i="4"/>
  <c r="C143" i="3"/>
  <c r="I170" i="2"/>
  <c r="J170" i="2" s="1"/>
  <c r="H142" i="3"/>
  <c r="J169" i="2"/>
  <c r="G144" i="3" l="1"/>
  <c r="I172" i="4"/>
  <c r="K171" i="4"/>
  <c r="J172" i="4"/>
  <c r="G266" i="4"/>
  <c r="O265" i="4"/>
  <c r="H143" i="3"/>
  <c r="C144" i="3"/>
  <c r="I171" i="2"/>
  <c r="J171" i="2" s="1"/>
  <c r="K172" i="4" l="1"/>
  <c r="G145" i="3"/>
  <c r="I173" i="4"/>
  <c r="G267" i="4"/>
  <c r="O266" i="4"/>
  <c r="C145" i="3"/>
  <c r="H144" i="3"/>
  <c r="I172" i="2"/>
  <c r="J172" i="2" s="1"/>
  <c r="K173" i="4" l="1"/>
  <c r="G146" i="3"/>
  <c r="I174" i="4"/>
  <c r="J173" i="4"/>
  <c r="G268" i="4"/>
  <c r="O267" i="4"/>
  <c r="H145" i="3"/>
  <c r="C146" i="3"/>
  <c r="I173" i="2"/>
  <c r="J173" i="2" s="1"/>
  <c r="K174" i="4" l="1"/>
  <c r="G147" i="3"/>
  <c r="I175" i="4"/>
  <c r="J175" i="4" s="1"/>
  <c r="J174" i="4"/>
  <c r="G269" i="4"/>
  <c r="O268" i="4"/>
  <c r="C147" i="3"/>
  <c r="H146" i="3"/>
  <c r="I174" i="2"/>
  <c r="J174" i="2" s="1"/>
  <c r="G148" i="3" l="1"/>
  <c r="I176" i="4"/>
  <c r="K175" i="4"/>
  <c r="J176" i="4"/>
  <c r="G270" i="4"/>
  <c r="O269" i="4"/>
  <c r="C148" i="3"/>
  <c r="I175" i="2"/>
  <c r="H147" i="3"/>
  <c r="K176" i="4" l="1"/>
  <c r="G149" i="3"/>
  <c r="I177" i="4"/>
  <c r="J177" i="4" s="1"/>
  <c r="O270" i="4"/>
  <c r="G271" i="4"/>
  <c r="C149" i="3"/>
  <c r="H148" i="3"/>
  <c r="I176" i="2"/>
  <c r="J176" i="2" s="1"/>
  <c r="J175" i="2"/>
  <c r="K177" i="4" l="1"/>
  <c r="G150" i="3"/>
  <c r="I178" i="4"/>
  <c r="G272" i="4"/>
  <c r="O271" i="4"/>
  <c r="H149" i="3"/>
  <c r="C150" i="3"/>
  <c r="I177" i="2"/>
  <c r="J177" i="2" s="1"/>
  <c r="K178" i="4" l="1"/>
  <c r="G151" i="3"/>
  <c r="I179" i="4"/>
  <c r="J178" i="4"/>
  <c r="G273" i="4"/>
  <c r="O272" i="4"/>
  <c r="C151" i="3"/>
  <c r="H150" i="3"/>
  <c r="I178" i="2"/>
  <c r="J178" i="2" s="1"/>
  <c r="G152" i="3" l="1"/>
  <c r="I180" i="4"/>
  <c r="K179" i="4"/>
  <c r="J180" i="4"/>
  <c r="J179" i="4"/>
  <c r="G274" i="4"/>
  <c r="O273" i="4"/>
  <c r="H151" i="3"/>
  <c r="C152" i="3"/>
  <c r="I179" i="2"/>
  <c r="K180" i="4" l="1"/>
  <c r="G153" i="3"/>
  <c r="I181" i="4"/>
  <c r="G275" i="4"/>
  <c r="O274" i="4"/>
  <c r="C153" i="3"/>
  <c r="H152" i="3"/>
  <c r="I180" i="2"/>
  <c r="J180" i="2" s="1"/>
  <c r="J179" i="2"/>
  <c r="K181" i="4" l="1"/>
  <c r="G154" i="3"/>
  <c r="I182" i="4"/>
  <c r="J181" i="4"/>
  <c r="G276" i="4"/>
  <c r="O275" i="4"/>
  <c r="C154" i="3"/>
  <c r="H153" i="3"/>
  <c r="I181" i="2"/>
  <c r="J181" i="2" s="1"/>
  <c r="G155" i="3" l="1"/>
  <c r="I183" i="4"/>
  <c r="K182" i="4"/>
  <c r="J183" i="4"/>
  <c r="J182" i="4"/>
  <c r="G277" i="4"/>
  <c r="O276" i="4"/>
  <c r="C155" i="3"/>
  <c r="H154" i="3"/>
  <c r="I182" i="2"/>
  <c r="J182" i="2" s="1"/>
  <c r="K183" i="4" l="1"/>
  <c r="G156" i="3"/>
  <c r="I184" i="4"/>
  <c r="G278" i="4"/>
  <c r="O277" i="4"/>
  <c r="H155" i="3"/>
  <c r="C156" i="3"/>
  <c r="I183" i="2"/>
  <c r="J183" i="2" s="1"/>
  <c r="K184" i="4" l="1"/>
  <c r="J185" i="4"/>
  <c r="J184" i="4"/>
  <c r="G157" i="3"/>
  <c r="I185" i="4"/>
  <c r="O278" i="4"/>
  <c r="G279" i="4"/>
  <c r="H156" i="3"/>
  <c r="C157" i="3"/>
  <c r="I184" i="2"/>
  <c r="J184" i="2" s="1"/>
  <c r="G158" i="3" l="1"/>
  <c r="I186" i="4"/>
  <c r="K185" i="4"/>
  <c r="J186" i="4"/>
  <c r="G280" i="4"/>
  <c r="O279" i="4"/>
  <c r="C158" i="3"/>
  <c r="I185" i="2"/>
  <c r="J185" i="2" s="1"/>
  <c r="H157" i="3"/>
  <c r="K186" i="4" l="1"/>
  <c r="G159" i="3"/>
  <c r="I187" i="4"/>
  <c r="G281" i="4"/>
  <c r="O280" i="4"/>
  <c r="C159" i="3"/>
  <c r="I186" i="2"/>
  <c r="J186" i="2" s="1"/>
  <c r="H158" i="3"/>
  <c r="G160" i="3" l="1"/>
  <c r="I188" i="4"/>
  <c r="K187" i="4"/>
  <c r="J188" i="4"/>
  <c r="J187" i="4"/>
  <c r="G282" i="4"/>
  <c r="O281" i="4"/>
  <c r="C160" i="3"/>
  <c r="H159" i="3"/>
  <c r="I187" i="2"/>
  <c r="J187" i="2" s="1"/>
  <c r="K188" i="4" l="1"/>
  <c r="G161" i="3"/>
  <c r="I189" i="4"/>
  <c r="G283" i="4"/>
  <c r="O282" i="4"/>
  <c r="H160" i="3"/>
  <c r="C161" i="3"/>
  <c r="I188" i="2"/>
  <c r="J188" i="2" s="1"/>
  <c r="G162" i="3" l="1"/>
  <c r="I190" i="4"/>
  <c r="K189" i="4"/>
  <c r="J190" i="4"/>
  <c r="J189" i="4"/>
  <c r="G284" i="4"/>
  <c r="O283" i="4"/>
  <c r="C162" i="3"/>
  <c r="H161" i="3"/>
  <c r="I189" i="2"/>
  <c r="K190" i="4" l="1"/>
  <c r="G163" i="3"/>
  <c r="I191" i="4"/>
  <c r="G285" i="4"/>
  <c r="O284" i="4"/>
  <c r="C163" i="3"/>
  <c r="I190" i="2"/>
  <c r="H162" i="3"/>
  <c r="J189" i="2"/>
  <c r="K191" i="4" l="1"/>
  <c r="G164" i="3"/>
  <c r="I192" i="4"/>
  <c r="J191" i="4"/>
  <c r="G286" i="4"/>
  <c r="O285" i="4"/>
  <c r="C164" i="3"/>
  <c r="H163" i="3"/>
  <c r="I191" i="2"/>
  <c r="J191" i="2" s="1"/>
  <c r="J190" i="2"/>
  <c r="K192" i="4" l="1"/>
  <c r="G165" i="3"/>
  <c r="I193" i="4"/>
  <c r="J192" i="4"/>
  <c r="O286" i="4"/>
  <c r="G287" i="4"/>
  <c r="C165" i="3"/>
  <c r="H164" i="3"/>
  <c r="I192" i="2"/>
  <c r="J192" i="2" s="1"/>
  <c r="G166" i="3" l="1"/>
  <c r="I194" i="4"/>
  <c r="K193" i="4"/>
  <c r="J194" i="4"/>
  <c r="J193" i="4"/>
  <c r="G288" i="4"/>
  <c r="O287" i="4"/>
  <c r="C166" i="3"/>
  <c r="H165" i="3"/>
  <c r="I193" i="2"/>
  <c r="K194" i="4" l="1"/>
  <c r="G167" i="3"/>
  <c r="I195" i="4"/>
  <c r="G289" i="4"/>
  <c r="O288" i="4"/>
  <c r="C167" i="3"/>
  <c r="H166" i="3"/>
  <c r="I194" i="2"/>
  <c r="J194" i="2" s="1"/>
  <c r="J193" i="2"/>
  <c r="K195" i="4" l="1"/>
  <c r="G168" i="3"/>
  <c r="I196" i="4"/>
  <c r="J195" i="4"/>
  <c r="G290" i="4"/>
  <c r="O289" i="4"/>
  <c r="C168" i="3"/>
  <c r="H167" i="3"/>
  <c r="I195" i="2"/>
  <c r="J195" i="2" s="1"/>
  <c r="K196" i="4" l="1"/>
  <c r="G169" i="3"/>
  <c r="I197" i="4"/>
  <c r="J197" i="4" s="1"/>
  <c r="J196" i="4"/>
  <c r="G291" i="4"/>
  <c r="O290" i="4"/>
  <c r="C169" i="3"/>
  <c r="I196" i="2"/>
  <c r="J196" i="2" s="1"/>
  <c r="H168" i="3"/>
  <c r="G170" i="3" l="1"/>
  <c r="I198" i="4"/>
  <c r="K197" i="4"/>
  <c r="J198" i="4"/>
  <c r="G292" i="4"/>
  <c r="O291" i="4"/>
  <c r="H169" i="3"/>
  <c r="C170" i="3"/>
  <c r="I197" i="2"/>
  <c r="J197" i="2" s="1"/>
  <c r="K198" i="4" l="1"/>
  <c r="G171" i="3"/>
  <c r="I199" i="4"/>
  <c r="G293" i="4"/>
  <c r="O292" i="4"/>
  <c r="C171" i="3"/>
  <c r="H170" i="3"/>
  <c r="I198" i="2"/>
  <c r="J198" i="2" s="1"/>
  <c r="G172" i="3" l="1"/>
  <c r="I200" i="4"/>
  <c r="K199" i="4"/>
  <c r="J200" i="4"/>
  <c r="J199" i="4"/>
  <c r="G294" i="4"/>
  <c r="O293" i="4"/>
  <c r="C172" i="3"/>
  <c r="H171" i="3"/>
  <c r="I199" i="2"/>
  <c r="J199" i="2" s="1"/>
  <c r="K200" i="4" l="1"/>
  <c r="G173" i="3"/>
  <c r="I201" i="4"/>
  <c r="G295" i="4"/>
  <c r="O294" i="4"/>
  <c r="C173" i="3"/>
  <c r="H172" i="3"/>
  <c r="I200" i="2"/>
  <c r="K201" i="4" l="1"/>
  <c r="G174" i="3"/>
  <c r="I202" i="4"/>
  <c r="J201" i="4"/>
  <c r="G296" i="4"/>
  <c r="O295" i="4"/>
  <c r="C174" i="3"/>
  <c r="H173" i="3"/>
  <c r="J200" i="2"/>
  <c r="I201" i="2"/>
  <c r="K202" i="4" l="1"/>
  <c r="J202" i="4"/>
  <c r="G175" i="3"/>
  <c r="I203" i="4"/>
  <c r="J203" i="4" s="1"/>
  <c r="G297" i="4"/>
  <c r="O296" i="4"/>
  <c r="C175" i="3"/>
  <c r="H174" i="3"/>
  <c r="I202" i="2"/>
  <c r="J202" i="2" s="1"/>
  <c r="J201" i="2"/>
  <c r="G176" i="3" l="1"/>
  <c r="I204" i="4"/>
  <c r="K203" i="4"/>
  <c r="J204" i="4"/>
  <c r="G298" i="4"/>
  <c r="O297" i="4"/>
  <c r="C176" i="3"/>
  <c r="H175" i="3"/>
  <c r="I203" i="2"/>
  <c r="J203" i="2" s="1"/>
  <c r="K204" i="4" l="1"/>
  <c r="G177" i="3"/>
  <c r="I205" i="4"/>
  <c r="O298" i="4"/>
  <c r="G299" i="4"/>
  <c r="H176" i="3"/>
  <c r="C177" i="3"/>
  <c r="I204" i="2"/>
  <c r="J204" i="2" s="1"/>
  <c r="K205" i="4" l="1"/>
  <c r="J205" i="4"/>
  <c r="G178" i="3"/>
  <c r="I206" i="4"/>
  <c r="J206" i="4" s="1"/>
  <c r="G300" i="4"/>
  <c r="O299" i="4"/>
  <c r="H177" i="3"/>
  <c r="C178" i="3"/>
  <c r="I205" i="2"/>
  <c r="J205" i="2" s="1"/>
  <c r="G179" i="3" l="1"/>
  <c r="I207" i="4"/>
  <c r="K206" i="4"/>
  <c r="J207" i="4"/>
  <c r="G301" i="4"/>
  <c r="O300" i="4"/>
  <c r="H178" i="3"/>
  <c r="C179" i="3"/>
  <c r="I206" i="2"/>
  <c r="J206" i="2" s="1"/>
  <c r="K207" i="4" l="1"/>
  <c r="G180" i="3"/>
  <c r="I208" i="4"/>
  <c r="G302" i="4"/>
  <c r="O301" i="4"/>
  <c r="H179" i="3"/>
  <c r="C180" i="3"/>
  <c r="I207" i="2"/>
  <c r="K208" i="4" l="1"/>
  <c r="G181" i="3"/>
  <c r="I209" i="4"/>
  <c r="J209" i="4" s="1"/>
  <c r="J208" i="4"/>
  <c r="G303" i="4"/>
  <c r="O302" i="4"/>
  <c r="C181" i="3"/>
  <c r="H180" i="3"/>
  <c r="I208" i="2"/>
  <c r="J208" i="2" s="1"/>
  <c r="J207" i="2"/>
  <c r="K209" i="4" l="1"/>
  <c r="G182" i="3"/>
  <c r="I210" i="4"/>
  <c r="J210" i="4" s="1"/>
  <c r="G304" i="4"/>
  <c r="O303" i="4"/>
  <c r="C182" i="3"/>
  <c r="I209" i="2"/>
  <c r="H181" i="3"/>
  <c r="K210" i="4" l="1"/>
  <c r="G183" i="3"/>
  <c r="I211" i="4"/>
  <c r="G305" i="4"/>
  <c r="O304" i="4"/>
  <c r="C183" i="3"/>
  <c r="H182" i="3"/>
  <c r="I210" i="2"/>
  <c r="J210" i="2" s="1"/>
  <c r="J209" i="2"/>
  <c r="K211" i="4" l="1"/>
  <c r="G184" i="3"/>
  <c r="I212" i="4"/>
  <c r="J212" i="4" s="1"/>
  <c r="J211" i="4"/>
  <c r="G306" i="4"/>
  <c r="O305" i="4"/>
  <c r="C184" i="3"/>
  <c r="H183" i="3"/>
  <c r="I211" i="2"/>
  <c r="K212" i="4" l="1"/>
  <c r="G185" i="3"/>
  <c r="I213" i="4"/>
  <c r="G307" i="4"/>
  <c r="O306" i="4"/>
  <c r="C185" i="3"/>
  <c r="H184" i="3"/>
  <c r="I212" i="2"/>
  <c r="J211" i="2"/>
  <c r="K213" i="4" l="1"/>
  <c r="J214" i="4"/>
  <c r="J213" i="4"/>
  <c r="G186" i="3"/>
  <c r="I214" i="4"/>
  <c r="G308" i="4"/>
  <c r="O307" i="4"/>
  <c r="C186" i="3"/>
  <c r="J212" i="2"/>
  <c r="H185" i="3"/>
  <c r="I213" i="2"/>
  <c r="G187" i="3" l="1"/>
  <c r="I215" i="4"/>
  <c r="K214" i="4"/>
  <c r="J215" i="4"/>
  <c r="G309" i="4"/>
  <c r="O308" i="4"/>
  <c r="C187" i="3"/>
  <c r="H186" i="3"/>
  <c r="I214" i="2"/>
  <c r="J214" i="2" s="1"/>
  <c r="J213" i="2"/>
  <c r="K215" i="4" l="1"/>
  <c r="G188" i="3"/>
  <c r="I216" i="4"/>
  <c r="G310" i="4"/>
  <c r="O309" i="4"/>
  <c r="C188" i="3"/>
  <c r="H187" i="3"/>
  <c r="I215" i="2"/>
  <c r="K216" i="4" l="1"/>
  <c r="J217" i="4"/>
  <c r="J216" i="4"/>
  <c r="G189" i="3"/>
  <c r="I217" i="4"/>
  <c r="G311" i="4"/>
  <c r="O310" i="4"/>
  <c r="C189" i="3"/>
  <c r="I216" i="2"/>
  <c r="H188" i="3"/>
  <c r="J215" i="2"/>
  <c r="G190" i="3" l="1"/>
  <c r="I218" i="4"/>
  <c r="K217" i="4"/>
  <c r="J218" i="4"/>
  <c r="G312" i="4"/>
  <c r="O311" i="4"/>
  <c r="C190" i="3"/>
  <c r="H189" i="3"/>
  <c r="I217" i="2"/>
  <c r="J217" i="2" s="1"/>
  <c r="J216" i="2"/>
  <c r="K218" i="4" l="1"/>
  <c r="G191" i="3"/>
  <c r="I219" i="4"/>
  <c r="G313" i="4"/>
  <c r="O312" i="4"/>
  <c r="C191" i="3"/>
  <c r="H190" i="3"/>
  <c r="I218" i="2"/>
  <c r="K219" i="4" l="1"/>
  <c r="G192" i="3"/>
  <c r="I220" i="4"/>
  <c r="J219" i="4"/>
  <c r="G314" i="4"/>
  <c r="O313" i="4"/>
  <c r="H191" i="3"/>
  <c r="C192" i="3"/>
  <c r="I219" i="2"/>
  <c r="J219" i="2" s="1"/>
  <c r="J218" i="2"/>
  <c r="G193" i="3" l="1"/>
  <c r="I221" i="4"/>
  <c r="K220" i="4"/>
  <c r="J221" i="4"/>
  <c r="J220" i="4"/>
  <c r="G315" i="4"/>
  <c r="O314" i="4"/>
  <c r="H192" i="3"/>
  <c r="C193" i="3"/>
  <c r="I220" i="2"/>
  <c r="J220" i="2" s="1"/>
  <c r="K221" i="4" l="1"/>
  <c r="G194" i="3"/>
  <c r="I222" i="4"/>
  <c r="G316" i="4"/>
  <c r="O315" i="4"/>
  <c r="H193" i="3"/>
  <c r="C194" i="3"/>
  <c r="I221" i="2"/>
  <c r="K222" i="4" l="1"/>
  <c r="G195" i="3"/>
  <c r="I223" i="4"/>
  <c r="J222" i="4"/>
  <c r="G317" i="4"/>
  <c r="O316" i="4"/>
  <c r="H194" i="3"/>
  <c r="C195" i="3"/>
  <c r="J221" i="2"/>
  <c r="I222" i="2"/>
  <c r="K223" i="4" l="1"/>
  <c r="G196" i="3"/>
  <c r="I224" i="4"/>
  <c r="J223" i="4"/>
  <c r="G318" i="4"/>
  <c r="O317" i="4"/>
  <c r="H195" i="3"/>
  <c r="C196" i="3"/>
  <c r="I223" i="2"/>
  <c r="J223" i="2" s="1"/>
  <c r="J222" i="2"/>
  <c r="G197" i="3" l="1"/>
  <c r="I225" i="4"/>
  <c r="K224" i="4"/>
  <c r="J225" i="4"/>
  <c r="J224" i="4"/>
  <c r="O318" i="4"/>
  <c r="G319" i="4"/>
  <c r="C197" i="3"/>
  <c r="I224" i="2"/>
  <c r="H196" i="3"/>
  <c r="K225" i="4" l="1"/>
  <c r="G198" i="3"/>
  <c r="I226" i="4"/>
  <c r="G320" i="4"/>
  <c r="O319" i="4"/>
  <c r="C198" i="3"/>
  <c r="I225" i="2"/>
  <c r="J225" i="2" s="1"/>
  <c r="H197" i="3"/>
  <c r="J224" i="2"/>
  <c r="G199" i="3" l="1"/>
  <c r="I227" i="4"/>
  <c r="K226" i="4"/>
  <c r="J227" i="4"/>
  <c r="J226" i="4"/>
  <c r="G321" i="4"/>
  <c r="O320" i="4"/>
  <c r="C199" i="3"/>
  <c r="H198" i="3"/>
  <c r="I226" i="2"/>
  <c r="K227" i="4" l="1"/>
  <c r="G200" i="3"/>
  <c r="I228" i="4"/>
  <c r="G322" i="4"/>
  <c r="O321" i="4"/>
  <c r="C200" i="3"/>
  <c r="H199" i="3"/>
  <c r="I227" i="2"/>
  <c r="J227" i="2" s="1"/>
  <c r="J226" i="2"/>
  <c r="K228" i="4" l="1"/>
  <c r="G201" i="3"/>
  <c r="I229" i="4"/>
  <c r="J228" i="4"/>
  <c r="G323" i="4"/>
  <c r="O322" i="4"/>
  <c r="H200" i="3"/>
  <c r="C201" i="3"/>
  <c r="I228" i="2"/>
  <c r="K229" i="4" l="1"/>
  <c r="G202" i="3"/>
  <c r="I230" i="4"/>
  <c r="J229" i="4"/>
  <c r="G324" i="4"/>
  <c r="O323" i="4"/>
  <c r="H201" i="3"/>
  <c r="C202" i="3"/>
  <c r="I229" i="2"/>
  <c r="J229" i="2" s="1"/>
  <c r="J228" i="2"/>
  <c r="G203" i="3" l="1"/>
  <c r="I231" i="4"/>
  <c r="K230" i="4"/>
  <c r="J231" i="4"/>
  <c r="J230" i="4"/>
  <c r="G325" i="4"/>
  <c r="O324" i="4"/>
  <c r="C203" i="3"/>
  <c r="H202" i="3"/>
  <c r="I230" i="2"/>
  <c r="K231" i="4" l="1"/>
  <c r="G204" i="3"/>
  <c r="I232" i="4"/>
  <c r="G326" i="4"/>
  <c r="O325" i="4"/>
  <c r="C204" i="3"/>
  <c r="H203" i="3"/>
  <c r="I231" i="2"/>
  <c r="J231" i="2" s="1"/>
  <c r="J230" i="2"/>
  <c r="K232" i="4" l="1"/>
  <c r="J233" i="4"/>
  <c r="J232" i="4"/>
  <c r="G205" i="3"/>
  <c r="I233" i="4"/>
  <c r="O326" i="4"/>
  <c r="G327" i="4"/>
  <c r="H204" i="3"/>
  <c r="C205" i="3"/>
  <c r="I232" i="2"/>
  <c r="J232" i="2" s="1"/>
  <c r="G206" i="3" l="1"/>
  <c r="I234" i="4"/>
  <c r="K233" i="4"/>
  <c r="J234" i="4"/>
  <c r="G328" i="4"/>
  <c r="O327" i="4"/>
  <c r="C206" i="3"/>
  <c r="H205" i="3"/>
  <c r="I233" i="2"/>
  <c r="K234" i="4" l="1"/>
  <c r="G207" i="3"/>
  <c r="I235" i="4"/>
  <c r="O328" i="4"/>
  <c r="G329" i="4"/>
  <c r="C207" i="3"/>
  <c r="H206" i="3"/>
  <c r="I234" i="2"/>
  <c r="J233" i="2"/>
  <c r="G208" i="3" l="1"/>
  <c r="I236" i="4"/>
  <c r="K235" i="4"/>
  <c r="J236" i="4"/>
  <c r="J235" i="4"/>
  <c r="G330" i="4"/>
  <c r="O329" i="4"/>
  <c r="C208" i="3"/>
  <c r="H207" i="3"/>
  <c r="I235" i="2"/>
  <c r="J234" i="2"/>
  <c r="K236" i="4" l="1"/>
  <c r="G209" i="3"/>
  <c r="I237" i="4"/>
  <c r="J237" i="4" s="1"/>
  <c r="O330" i="4"/>
  <c r="G331" i="4"/>
  <c r="C209" i="3"/>
  <c r="I236" i="2"/>
  <c r="H208" i="3"/>
  <c r="J235" i="2"/>
  <c r="G210" i="3" l="1"/>
  <c r="I238" i="4"/>
  <c r="K237" i="4"/>
  <c r="J238" i="4"/>
  <c r="G332" i="4"/>
  <c r="O331" i="4"/>
  <c r="H209" i="3"/>
  <c r="C210" i="3"/>
  <c r="I237" i="2"/>
  <c r="J236" i="2"/>
  <c r="K238" i="4" l="1"/>
  <c r="G211" i="3"/>
  <c r="I239" i="4"/>
  <c r="O332" i="4"/>
  <c r="G333" i="4"/>
  <c r="C211" i="3"/>
  <c r="I238" i="2"/>
  <c r="H210" i="3"/>
  <c r="J237" i="2"/>
  <c r="G212" i="3" l="1"/>
  <c r="I240" i="4"/>
  <c r="K239" i="4"/>
  <c r="J240" i="4"/>
  <c r="J239" i="4"/>
  <c r="G334" i="4"/>
  <c r="O333" i="4"/>
  <c r="H211" i="3"/>
  <c r="C212" i="3"/>
  <c r="I239" i="2"/>
  <c r="J238" i="2"/>
  <c r="K240" i="4" l="1"/>
  <c r="G213" i="3"/>
  <c r="I241" i="4"/>
  <c r="O334" i="4"/>
  <c r="G335" i="4"/>
  <c r="C213" i="3"/>
  <c r="H212" i="3"/>
  <c r="I240" i="2"/>
  <c r="J240" i="2" s="1"/>
  <c r="J239" i="2"/>
  <c r="K241" i="4" l="1"/>
  <c r="G214" i="3"/>
  <c r="I242" i="4"/>
  <c r="J242" i="4" s="1"/>
  <c r="J241" i="4"/>
  <c r="G336" i="4"/>
  <c r="O335" i="4"/>
  <c r="C214" i="3"/>
  <c r="H213" i="3"/>
  <c r="I241" i="2"/>
  <c r="G215" i="3" l="1"/>
  <c r="I243" i="4"/>
  <c r="K242" i="4"/>
  <c r="J243" i="4"/>
  <c r="O336" i="4"/>
  <c r="G337" i="4"/>
  <c r="C215" i="3"/>
  <c r="H214" i="3"/>
  <c r="I242" i="2"/>
  <c r="J242" i="2" s="1"/>
  <c r="J241" i="2"/>
  <c r="K243" i="4" l="1"/>
  <c r="G216" i="3"/>
  <c r="I244" i="4"/>
  <c r="G338" i="4"/>
  <c r="O337" i="4"/>
  <c r="H215" i="3"/>
  <c r="C216" i="3"/>
  <c r="I243" i="2"/>
  <c r="J243" i="2" s="1"/>
  <c r="K244" i="4" l="1"/>
  <c r="G217" i="3"/>
  <c r="I245" i="4"/>
  <c r="J244" i="4"/>
  <c r="O338" i="4"/>
  <c r="G339" i="4"/>
  <c r="C217" i="3"/>
  <c r="H216" i="3"/>
  <c r="I244" i="2"/>
  <c r="K245" i="4" l="1"/>
  <c r="G218" i="3"/>
  <c r="I246" i="4"/>
  <c r="J246" i="4" s="1"/>
  <c r="J245" i="4"/>
  <c r="G340" i="4"/>
  <c r="O339" i="4"/>
  <c r="C218" i="3"/>
  <c r="H217" i="3"/>
  <c r="I245" i="2"/>
  <c r="J244" i="2"/>
  <c r="G219" i="3" l="1"/>
  <c r="I247" i="4"/>
  <c r="K246" i="4"/>
  <c r="J247" i="4"/>
  <c r="O340" i="4"/>
  <c r="G341" i="4"/>
  <c r="C219" i="3"/>
  <c r="I246" i="2"/>
  <c r="H218" i="3"/>
  <c r="J245" i="2"/>
  <c r="K247" i="4" l="1"/>
  <c r="G220" i="3"/>
  <c r="I248" i="4"/>
  <c r="J248" i="4" s="1"/>
  <c r="G342" i="4"/>
  <c r="O341" i="4"/>
  <c r="C220" i="3"/>
  <c r="H219" i="3"/>
  <c r="I247" i="2"/>
  <c r="J247" i="2" s="1"/>
  <c r="J246" i="2"/>
  <c r="G221" i="3" l="1"/>
  <c r="I249" i="4"/>
  <c r="K248" i="4"/>
  <c r="J249" i="4"/>
  <c r="O342" i="4"/>
  <c r="G343" i="4"/>
  <c r="H220" i="3"/>
  <c r="C221" i="3"/>
  <c r="I248" i="2"/>
  <c r="J248" i="2" s="1"/>
  <c r="K249" i="4" l="1"/>
  <c r="G222" i="3"/>
  <c r="I250" i="4"/>
  <c r="G344" i="4"/>
  <c r="O343" i="4"/>
  <c r="H221" i="3"/>
  <c r="C222" i="3"/>
  <c r="I249" i="2"/>
  <c r="J249" i="2" s="1"/>
  <c r="K250" i="4" l="1"/>
  <c r="J251" i="4"/>
  <c r="J250" i="4"/>
  <c r="G223" i="3"/>
  <c r="I251" i="4"/>
  <c r="O344" i="4"/>
  <c r="G345" i="4"/>
  <c r="C223" i="3"/>
  <c r="H222" i="3"/>
  <c r="I250" i="2"/>
  <c r="J250" i="2" s="1"/>
  <c r="G224" i="3" l="1"/>
  <c r="I252" i="4"/>
  <c r="K251" i="4"/>
  <c r="J252" i="4"/>
  <c r="G346" i="4"/>
  <c r="O345" i="4"/>
  <c r="C224" i="3"/>
  <c r="H223" i="3"/>
  <c r="I251" i="2"/>
  <c r="J251" i="2" s="1"/>
  <c r="K252" i="4" l="1"/>
  <c r="G225" i="3"/>
  <c r="I253" i="4"/>
  <c r="O346" i="4"/>
  <c r="G347" i="4"/>
  <c r="C225" i="3"/>
  <c r="H224" i="3"/>
  <c r="I252" i="2"/>
  <c r="J252" i="2" s="1"/>
  <c r="K253" i="4" l="1"/>
  <c r="J254" i="4"/>
  <c r="J253" i="4"/>
  <c r="G226" i="3"/>
  <c r="I254" i="4"/>
  <c r="G348" i="4"/>
  <c r="O347" i="4"/>
  <c r="C226" i="3"/>
  <c r="H225" i="3"/>
  <c r="I253" i="2"/>
  <c r="J253" i="2" s="1"/>
  <c r="G227" i="3" l="1"/>
  <c r="I255" i="4"/>
  <c r="K254" i="4"/>
  <c r="J255" i="4"/>
  <c r="O348" i="4"/>
  <c r="G349" i="4"/>
  <c r="C227" i="3"/>
  <c r="H226" i="3"/>
  <c r="I254" i="2"/>
  <c r="J254" i="2" s="1"/>
  <c r="K255" i="4" l="1"/>
  <c r="G228" i="3"/>
  <c r="I256" i="4"/>
  <c r="J256" i="4" s="1"/>
  <c r="G350" i="4"/>
  <c r="O349" i="4"/>
  <c r="H227" i="3"/>
  <c r="C228" i="3"/>
  <c r="I255" i="2"/>
  <c r="J255" i="2" s="1"/>
  <c r="K256" i="4" l="1"/>
  <c r="G229" i="3"/>
  <c r="I257" i="4"/>
  <c r="O350" i="4"/>
  <c r="G351" i="4"/>
  <c r="C229" i="3"/>
  <c r="H228" i="3"/>
  <c r="I256" i="2"/>
  <c r="G230" i="3" l="1"/>
  <c r="I258" i="4"/>
  <c r="K257" i="4"/>
  <c r="J258" i="4"/>
  <c r="J257" i="4"/>
  <c r="G352" i="4"/>
  <c r="O351" i="4"/>
  <c r="C230" i="3"/>
  <c r="H229" i="3"/>
  <c r="I257" i="2"/>
  <c r="J256" i="2"/>
  <c r="K258" i="4" l="1"/>
  <c r="G231" i="3"/>
  <c r="I259" i="4"/>
  <c r="O352" i="4"/>
  <c r="G353" i="4"/>
  <c r="C231" i="3"/>
  <c r="I258" i="2"/>
  <c r="H230" i="3"/>
  <c r="J257" i="2"/>
  <c r="K259" i="4" l="1"/>
  <c r="G232" i="3"/>
  <c r="I260" i="4"/>
  <c r="J260" i="4" s="1"/>
  <c r="J259" i="4"/>
  <c r="G354" i="4"/>
  <c r="O353" i="4"/>
  <c r="C232" i="3"/>
  <c r="H231" i="3"/>
  <c r="I259" i="2"/>
  <c r="J258" i="2"/>
  <c r="G233" i="3" l="1"/>
  <c r="I261" i="4"/>
  <c r="K260" i="4"/>
  <c r="J261" i="4"/>
  <c r="O354" i="4"/>
  <c r="G355" i="4"/>
  <c r="C233" i="3"/>
  <c r="H232" i="3"/>
  <c r="J259" i="2"/>
  <c r="I260" i="2"/>
  <c r="J260" i="2" s="1"/>
  <c r="K261" i="4" l="1"/>
  <c r="G234" i="3"/>
  <c r="I262" i="4"/>
  <c r="G356" i="4"/>
  <c r="O355" i="4"/>
  <c r="C234" i="3"/>
  <c r="H233" i="3"/>
  <c r="I261" i="2"/>
  <c r="J261" i="2" s="1"/>
  <c r="G235" i="3" l="1"/>
  <c r="I263" i="4"/>
  <c r="K262" i="4"/>
  <c r="J263" i="4"/>
  <c r="J262" i="4"/>
  <c r="O356" i="4"/>
  <c r="G357" i="4"/>
  <c r="C235" i="3"/>
  <c r="H234" i="3"/>
  <c r="I262" i="2"/>
  <c r="J262" i="2" s="1"/>
  <c r="K263" i="4" l="1"/>
  <c r="G236" i="3"/>
  <c r="I264" i="4"/>
  <c r="J264" i="4" s="1"/>
  <c r="G358" i="4"/>
  <c r="O357" i="4"/>
  <c r="C236" i="3"/>
  <c r="I263" i="2"/>
  <c r="H235" i="3"/>
  <c r="G237" i="3" l="1"/>
  <c r="I265" i="4"/>
  <c r="K264" i="4"/>
  <c r="J265" i="4"/>
  <c r="O358" i="4"/>
  <c r="G359" i="4"/>
  <c r="C237" i="3"/>
  <c r="H236" i="3"/>
  <c r="I264" i="2"/>
  <c r="J264" i="2" s="1"/>
  <c r="J263" i="2"/>
  <c r="K265" i="4" l="1"/>
  <c r="G238" i="3"/>
  <c r="I266" i="4"/>
  <c r="G360" i="4"/>
  <c r="O359" i="4"/>
  <c r="C238" i="3"/>
  <c r="H237" i="3"/>
  <c r="I265" i="2"/>
  <c r="J265" i="2" s="1"/>
  <c r="G239" i="3" l="1"/>
  <c r="I267" i="4"/>
  <c r="K266" i="4"/>
  <c r="J267" i="4"/>
  <c r="J266" i="4"/>
  <c r="O360" i="4"/>
  <c r="G361" i="4"/>
  <c r="C239" i="3"/>
  <c r="H238" i="3"/>
  <c r="I266" i="2"/>
  <c r="J266" i="2" s="1"/>
  <c r="K267" i="4" l="1"/>
  <c r="G240" i="3"/>
  <c r="I268" i="4"/>
  <c r="G362" i="4"/>
  <c r="O361" i="4"/>
  <c r="C240" i="3"/>
  <c r="H239" i="3"/>
  <c r="I267" i="2"/>
  <c r="J267" i="2" s="1"/>
  <c r="G241" i="3" l="1"/>
  <c r="I269" i="4"/>
  <c r="K268" i="4"/>
  <c r="J269" i="4"/>
  <c r="J268" i="4"/>
  <c r="O362" i="4"/>
  <c r="G363" i="4"/>
  <c r="C241" i="3"/>
  <c r="H240" i="3"/>
  <c r="I268" i="2"/>
  <c r="J268" i="2" s="1"/>
  <c r="K269" i="4" l="1"/>
  <c r="G242" i="3"/>
  <c r="I270" i="4"/>
  <c r="G364" i="4"/>
  <c r="O363" i="4"/>
  <c r="H241" i="3"/>
  <c r="C242" i="3"/>
  <c r="I269" i="2"/>
  <c r="J269" i="2" s="1"/>
  <c r="K270" i="4" l="1"/>
  <c r="J271" i="4"/>
  <c r="J270" i="4"/>
  <c r="G243" i="3"/>
  <c r="I271" i="4"/>
  <c r="O364" i="4"/>
  <c r="G365" i="4"/>
  <c r="C243" i="3"/>
  <c r="I270" i="2"/>
  <c r="H242" i="3"/>
  <c r="G244" i="3" l="1"/>
  <c r="I272" i="4"/>
  <c r="K271" i="4"/>
  <c r="J272" i="4"/>
  <c r="G366" i="4"/>
  <c r="O365" i="4"/>
  <c r="C244" i="3"/>
  <c r="J270" i="2"/>
  <c r="H243" i="3"/>
  <c r="I271" i="2"/>
  <c r="K272" i="4" l="1"/>
  <c r="G245" i="3"/>
  <c r="I273" i="4"/>
  <c r="O366" i="4"/>
  <c r="G367" i="4"/>
  <c r="C245" i="3"/>
  <c r="H244" i="3"/>
  <c r="I272" i="2"/>
  <c r="J271" i="2"/>
  <c r="K273" i="4" l="1"/>
  <c r="J273" i="4"/>
  <c r="G246" i="3"/>
  <c r="I274" i="4"/>
  <c r="J274" i="4" s="1"/>
  <c r="G368" i="4"/>
  <c r="O367" i="4"/>
  <c r="C246" i="3"/>
  <c r="H245" i="3"/>
  <c r="I273" i="2"/>
  <c r="J272" i="2"/>
  <c r="G247" i="3" l="1"/>
  <c r="I275" i="4"/>
  <c r="K274" i="4"/>
  <c r="J275" i="4"/>
  <c r="O368" i="4"/>
  <c r="G369" i="4"/>
  <c r="C247" i="3"/>
  <c r="H246" i="3"/>
  <c r="J273" i="2"/>
  <c r="I274" i="2"/>
  <c r="K275" i="4" l="1"/>
  <c r="G248" i="3"/>
  <c r="I276" i="4"/>
  <c r="G370" i="4"/>
  <c r="O369" i="4"/>
  <c r="H247" i="3"/>
  <c r="C248" i="3"/>
  <c r="I275" i="2"/>
  <c r="J274" i="2"/>
  <c r="K276" i="4" l="1"/>
  <c r="G249" i="3"/>
  <c r="I277" i="4"/>
  <c r="J277" i="4" s="1"/>
  <c r="J276" i="4"/>
  <c r="O370" i="4"/>
  <c r="G371" i="4"/>
  <c r="C249" i="3"/>
  <c r="H248" i="3"/>
  <c r="I276" i="2"/>
  <c r="J275" i="2"/>
  <c r="K277" i="4" l="1"/>
  <c r="G250" i="3"/>
  <c r="I278" i="4"/>
  <c r="J278" i="4" s="1"/>
  <c r="G372" i="4"/>
  <c r="O371" i="4"/>
  <c r="C250" i="3"/>
  <c r="H249" i="3"/>
  <c r="J276" i="2"/>
  <c r="I277" i="2"/>
  <c r="K278" i="4" l="1"/>
  <c r="G251" i="3"/>
  <c r="I279" i="4"/>
  <c r="O372" i="4"/>
  <c r="G373" i="4"/>
  <c r="C251" i="3"/>
  <c r="H250" i="3"/>
  <c r="I278" i="2"/>
  <c r="J277" i="2"/>
  <c r="K279" i="4" l="1"/>
  <c r="G252" i="3"/>
  <c r="I280" i="4"/>
  <c r="J279" i="4"/>
  <c r="G374" i="4"/>
  <c r="O373" i="4"/>
  <c r="C252" i="3"/>
  <c r="H251" i="3"/>
  <c r="I279" i="2"/>
  <c r="J278" i="2"/>
  <c r="G253" i="3" l="1"/>
  <c r="I281" i="4"/>
  <c r="K280" i="4"/>
  <c r="J281" i="4"/>
  <c r="J280" i="4"/>
  <c r="O374" i="4"/>
  <c r="G375" i="4"/>
  <c r="C253" i="3"/>
  <c r="H252" i="3"/>
  <c r="I280" i="2"/>
  <c r="J279" i="2"/>
  <c r="K281" i="4" l="1"/>
  <c r="G254" i="3"/>
  <c r="I282" i="4"/>
  <c r="G376" i="4"/>
  <c r="O375" i="4"/>
  <c r="C254" i="3"/>
  <c r="J280" i="2"/>
  <c r="I281" i="2"/>
  <c r="H253" i="3"/>
  <c r="K282" i="4" l="1"/>
  <c r="G255" i="3"/>
  <c r="I283" i="4"/>
  <c r="J282" i="4"/>
  <c r="O376" i="4"/>
  <c r="G377" i="4"/>
  <c r="C255" i="3"/>
  <c r="H254" i="3"/>
  <c r="I282" i="2"/>
  <c r="J281" i="2"/>
  <c r="K283" i="4" l="1"/>
  <c r="J283" i="4"/>
  <c r="G256" i="3"/>
  <c r="I284" i="4"/>
  <c r="J284" i="4" s="1"/>
  <c r="G378" i="4"/>
  <c r="O377" i="4"/>
  <c r="C256" i="3"/>
  <c r="H255" i="3"/>
  <c r="I283" i="2"/>
  <c r="J282" i="2"/>
  <c r="G257" i="3" l="1"/>
  <c r="I285" i="4"/>
  <c r="K284" i="4"/>
  <c r="J285" i="4"/>
  <c r="O378" i="4"/>
  <c r="G379" i="4"/>
  <c r="C257" i="3"/>
  <c r="I284" i="2"/>
  <c r="J284" i="2" s="1"/>
  <c r="H256" i="3"/>
  <c r="J283" i="2"/>
  <c r="K285" i="4" l="1"/>
  <c r="G258" i="3"/>
  <c r="I286" i="4"/>
  <c r="J286" i="4" s="1"/>
  <c r="G380" i="4"/>
  <c r="O379" i="4"/>
  <c r="C258" i="3"/>
  <c r="H257" i="3"/>
  <c r="I285" i="2"/>
  <c r="J285" i="2" s="1"/>
  <c r="K286" i="4" l="1"/>
  <c r="G259" i="3"/>
  <c r="I287" i="4"/>
  <c r="O380" i="4"/>
  <c r="G381" i="4"/>
  <c r="C259" i="3"/>
  <c r="H258" i="3"/>
  <c r="I286" i="2"/>
  <c r="J286" i="2" s="1"/>
  <c r="K287" i="4" l="1"/>
  <c r="G260" i="3"/>
  <c r="I288" i="4"/>
  <c r="J287" i="4"/>
  <c r="G382" i="4"/>
  <c r="O381" i="4"/>
  <c r="C260" i="3"/>
  <c r="H259" i="3"/>
  <c r="I287" i="2"/>
  <c r="K288" i="4" l="1"/>
  <c r="J289" i="4"/>
  <c r="J288" i="4"/>
  <c r="G261" i="3"/>
  <c r="I289" i="4"/>
  <c r="O382" i="4"/>
  <c r="G383" i="4"/>
  <c r="C261" i="3"/>
  <c r="H260" i="3"/>
  <c r="I288" i="2"/>
  <c r="J288" i="2" s="1"/>
  <c r="J287" i="2"/>
  <c r="G262" i="3" l="1"/>
  <c r="I290" i="4"/>
  <c r="J290" i="4" s="1"/>
  <c r="K289" i="4"/>
  <c r="G384" i="4"/>
  <c r="O383" i="4"/>
  <c r="C262" i="3"/>
  <c r="H261" i="3"/>
  <c r="I289" i="2"/>
  <c r="K290" i="4" l="1"/>
  <c r="G263" i="3"/>
  <c r="I291" i="4"/>
  <c r="O384" i="4"/>
  <c r="G385" i="4"/>
  <c r="C263" i="3"/>
  <c r="J289" i="2"/>
  <c r="I290" i="2"/>
  <c r="J290" i="2" s="1"/>
  <c r="H262" i="3"/>
  <c r="K291" i="4" l="1"/>
  <c r="J292" i="4"/>
  <c r="J291" i="4"/>
  <c r="G264" i="3"/>
  <c r="I292" i="4"/>
  <c r="G386" i="4"/>
  <c r="O385" i="4"/>
  <c r="C264" i="3"/>
  <c r="I291" i="2"/>
  <c r="J291" i="2" s="1"/>
  <c r="H263" i="3"/>
  <c r="G265" i="3" l="1"/>
  <c r="I293" i="4"/>
  <c r="K292" i="4"/>
  <c r="J293" i="4"/>
  <c r="O386" i="4"/>
  <c r="G387" i="4"/>
  <c r="C265" i="3"/>
  <c r="H264" i="3"/>
  <c r="I292" i="2"/>
  <c r="J292" i="2" s="1"/>
  <c r="K293" i="4" l="1"/>
  <c r="G266" i="3"/>
  <c r="I294" i="4"/>
  <c r="G388" i="4"/>
  <c r="O387" i="4"/>
  <c r="C266" i="3"/>
  <c r="H265" i="3"/>
  <c r="I293" i="2"/>
  <c r="J293" i="2" s="1"/>
  <c r="K294" i="4" l="1"/>
  <c r="J295" i="4"/>
  <c r="J294" i="4"/>
  <c r="G267" i="3"/>
  <c r="I295" i="4"/>
  <c r="O388" i="4"/>
  <c r="G389" i="4"/>
  <c r="C267" i="3"/>
  <c r="H266" i="3"/>
  <c r="I294" i="2"/>
  <c r="J294" i="2" s="1"/>
  <c r="G268" i="3" l="1"/>
  <c r="I296" i="4"/>
  <c r="K295" i="4"/>
  <c r="J296" i="4"/>
  <c r="G390" i="4"/>
  <c r="O390" i="4" s="1"/>
  <c r="O389" i="4"/>
  <c r="C268" i="3"/>
  <c r="I295" i="2"/>
  <c r="J295" i="2" s="1"/>
  <c r="H267" i="3"/>
  <c r="K296" i="4" l="1"/>
  <c r="G269" i="3"/>
  <c r="I297" i="4"/>
  <c r="J297" i="4" s="1"/>
  <c r="C269" i="3"/>
  <c r="H268" i="3"/>
  <c r="I296" i="2"/>
  <c r="K297" i="4" l="1"/>
  <c r="G270" i="3"/>
  <c r="I298" i="4"/>
  <c r="C270" i="3"/>
  <c r="H269" i="3"/>
  <c r="I297" i="2"/>
  <c r="J297" i="2" s="1"/>
  <c r="J296" i="2"/>
  <c r="K298" i="4" l="1"/>
  <c r="G271" i="3"/>
  <c r="I299" i="4"/>
  <c r="J298" i="4"/>
  <c r="C271" i="3"/>
  <c r="H270" i="3"/>
  <c r="I298" i="2"/>
  <c r="J298" i="2" s="1"/>
  <c r="K299" i="4" l="1"/>
  <c r="G272" i="3"/>
  <c r="I300" i="4"/>
  <c r="J299" i="4"/>
  <c r="C272" i="3"/>
  <c r="H271" i="3"/>
  <c r="I299" i="2"/>
  <c r="J299" i="2" s="1"/>
  <c r="K300" i="4" l="1"/>
  <c r="G273" i="3"/>
  <c r="I301" i="4"/>
  <c r="J300" i="4"/>
  <c r="H272" i="3"/>
  <c r="C273" i="3"/>
  <c r="I300" i="2"/>
  <c r="J300" i="2" s="1"/>
  <c r="G274" i="3" l="1"/>
  <c r="I302" i="4"/>
  <c r="K301" i="4"/>
  <c r="J302" i="4"/>
  <c r="J301" i="4"/>
  <c r="C274" i="3"/>
  <c r="H273" i="3"/>
  <c r="I301" i="2"/>
  <c r="J301" i="2" s="1"/>
  <c r="K302" i="4" l="1"/>
  <c r="G275" i="3"/>
  <c r="I303" i="4"/>
  <c r="C275" i="3"/>
  <c r="H274" i="3"/>
  <c r="I302" i="2"/>
  <c r="J302" i="2" s="1"/>
  <c r="K303" i="4" l="1"/>
  <c r="G276" i="3"/>
  <c r="I304" i="4"/>
  <c r="J303" i="4"/>
  <c r="C276" i="3"/>
  <c r="H275" i="3"/>
  <c r="I303" i="2"/>
  <c r="K304" i="4" l="1"/>
  <c r="J304" i="4"/>
  <c r="G277" i="3"/>
  <c r="I305" i="4"/>
  <c r="J305" i="4" s="1"/>
  <c r="H276" i="3"/>
  <c r="C277" i="3"/>
  <c r="I304" i="2"/>
  <c r="J304" i="2" s="1"/>
  <c r="J303" i="2"/>
  <c r="G278" i="3" l="1"/>
  <c r="I306" i="4"/>
  <c r="K305" i="4"/>
  <c r="J306" i="4"/>
  <c r="C278" i="3"/>
  <c r="I305" i="2"/>
  <c r="J305" i="2" s="1"/>
  <c r="H277" i="3"/>
  <c r="K306" i="4" l="1"/>
  <c r="G279" i="3"/>
  <c r="I307" i="4"/>
  <c r="C279" i="3"/>
  <c r="I306" i="2"/>
  <c r="J306" i="2" s="1"/>
  <c r="H278" i="3"/>
  <c r="K307" i="4" l="1"/>
  <c r="G280" i="3"/>
  <c r="I308" i="4"/>
  <c r="J307" i="4"/>
  <c r="C280" i="3"/>
  <c r="H279" i="3"/>
  <c r="I307" i="2"/>
  <c r="G281" i="3" l="1"/>
  <c r="I309" i="4"/>
  <c r="K308" i="4"/>
  <c r="J309" i="4"/>
  <c r="J308" i="4"/>
  <c r="C281" i="3"/>
  <c r="H280" i="3"/>
  <c r="I308" i="2"/>
  <c r="J308" i="2" s="1"/>
  <c r="J307" i="2"/>
  <c r="K309" i="4" l="1"/>
  <c r="G282" i="3"/>
  <c r="I310" i="4"/>
  <c r="C282" i="3"/>
  <c r="I309" i="2"/>
  <c r="H281" i="3"/>
  <c r="K310" i="4" l="1"/>
  <c r="G283" i="3"/>
  <c r="I311" i="4"/>
  <c r="J310" i="4"/>
  <c r="C283" i="3"/>
  <c r="J309" i="2"/>
  <c r="H282" i="3"/>
  <c r="I310" i="2"/>
  <c r="G284" i="3" l="1"/>
  <c r="I312" i="4"/>
  <c r="K311" i="4"/>
  <c r="J312" i="4"/>
  <c r="J311" i="4"/>
  <c r="C284" i="3"/>
  <c r="H283" i="3"/>
  <c r="I311" i="2"/>
  <c r="J311" i="2" s="1"/>
  <c r="J310" i="2"/>
  <c r="K312" i="4" l="1"/>
  <c r="G285" i="3"/>
  <c r="I313" i="4"/>
  <c r="H284" i="3"/>
  <c r="C285" i="3"/>
  <c r="I312" i="2"/>
  <c r="G286" i="3" l="1"/>
  <c r="I314" i="4"/>
  <c r="K313" i="4"/>
  <c r="J314" i="4"/>
  <c r="J313" i="4"/>
  <c r="H285" i="3"/>
  <c r="C286" i="3"/>
  <c r="I313" i="2"/>
  <c r="J313" i="2" s="1"/>
  <c r="J312" i="2"/>
  <c r="K314" i="4" l="1"/>
  <c r="G287" i="3"/>
  <c r="I315" i="4"/>
  <c r="C287" i="3"/>
  <c r="H286" i="3"/>
  <c r="I314" i="2"/>
  <c r="J314" i="2" s="1"/>
  <c r="K315" i="4" l="1"/>
  <c r="G288" i="3"/>
  <c r="I316" i="4"/>
  <c r="J315" i="4"/>
  <c r="H287" i="3"/>
  <c r="C288" i="3"/>
  <c r="I315" i="2"/>
  <c r="G289" i="3" l="1"/>
  <c r="I317" i="4"/>
  <c r="K316" i="4"/>
  <c r="J317" i="4"/>
  <c r="J316" i="4"/>
  <c r="C289" i="3"/>
  <c r="H288" i="3"/>
  <c r="I316" i="2"/>
  <c r="J316" i="2" s="1"/>
  <c r="J315" i="2"/>
  <c r="K317" i="4" l="1"/>
  <c r="G290" i="3"/>
  <c r="I318" i="4"/>
  <c r="H289" i="3"/>
  <c r="C290" i="3"/>
  <c r="I317" i="2"/>
  <c r="K318" i="4" l="1"/>
  <c r="G291" i="3"/>
  <c r="I319" i="4"/>
  <c r="J319" i="4" s="1"/>
  <c r="J318" i="4"/>
  <c r="H290" i="3"/>
  <c r="C291" i="3"/>
  <c r="I318" i="2"/>
  <c r="J317" i="2"/>
  <c r="G292" i="3" l="1"/>
  <c r="I320" i="4"/>
  <c r="K319" i="4"/>
  <c r="J320" i="4"/>
  <c r="H291" i="3"/>
  <c r="C292" i="3"/>
  <c r="I319" i="2"/>
  <c r="J319" i="2" s="1"/>
  <c r="J318" i="2"/>
  <c r="K320" i="4" l="1"/>
  <c r="G293" i="3"/>
  <c r="I321" i="4"/>
  <c r="C293" i="3"/>
  <c r="I320" i="2"/>
  <c r="J320" i="2" s="1"/>
  <c r="H292" i="3"/>
  <c r="K321" i="4" l="1"/>
  <c r="G294" i="3"/>
  <c r="I322" i="4"/>
  <c r="J321" i="4"/>
  <c r="C294" i="3"/>
  <c r="H293" i="3"/>
  <c r="I321" i="2"/>
  <c r="G295" i="3" l="1"/>
  <c r="I323" i="4"/>
  <c r="K322" i="4"/>
  <c r="J323" i="4"/>
  <c r="J322" i="4"/>
  <c r="H294" i="3"/>
  <c r="C295" i="3"/>
  <c r="J321" i="2"/>
  <c r="I322" i="2"/>
  <c r="K323" i="4" l="1"/>
  <c r="G296" i="3"/>
  <c r="I324" i="4"/>
  <c r="J324" i="4" s="1"/>
  <c r="C296" i="3"/>
  <c r="H295" i="3"/>
  <c r="I323" i="2"/>
  <c r="J323" i="2" s="1"/>
  <c r="J322" i="2"/>
  <c r="G297" i="3" l="1"/>
  <c r="I325" i="4"/>
  <c r="K324" i="4"/>
  <c r="J325" i="4"/>
  <c r="H296" i="3"/>
  <c r="C297" i="3"/>
  <c r="I324" i="2"/>
  <c r="J324" i="2" s="1"/>
  <c r="K325" i="4" l="1"/>
  <c r="G298" i="3"/>
  <c r="I326" i="4"/>
  <c r="C298" i="3"/>
  <c r="H297" i="3"/>
  <c r="I325" i="2"/>
  <c r="J325" i="2" s="1"/>
  <c r="G299" i="3" l="1"/>
  <c r="I327" i="4"/>
  <c r="K326" i="4"/>
  <c r="J327" i="4"/>
  <c r="J326" i="4"/>
  <c r="C299" i="3"/>
  <c r="H298" i="3"/>
  <c r="I326" i="2"/>
  <c r="J326" i="2" s="1"/>
  <c r="K327" i="4" l="1"/>
  <c r="G300" i="3"/>
  <c r="I328" i="4"/>
  <c r="C300" i="3"/>
  <c r="H299" i="3"/>
  <c r="I327" i="2"/>
  <c r="J327" i="2" s="1"/>
  <c r="G301" i="3" l="1"/>
  <c r="I329" i="4"/>
  <c r="K328" i="4"/>
  <c r="J329" i="4"/>
  <c r="J328" i="4"/>
  <c r="H300" i="3"/>
  <c r="C301" i="3"/>
  <c r="I328" i="2"/>
  <c r="J328" i="2" s="1"/>
  <c r="K329" i="4" l="1"/>
  <c r="G302" i="3"/>
  <c r="I330" i="4"/>
  <c r="C302" i="3"/>
  <c r="H301" i="3"/>
  <c r="I329" i="2"/>
  <c r="K330" i="4" l="1"/>
  <c r="G303" i="3"/>
  <c r="I331" i="4"/>
  <c r="J331" i="4" s="1"/>
  <c r="J330" i="4"/>
  <c r="C303" i="3"/>
  <c r="H302" i="3"/>
  <c r="I330" i="2"/>
  <c r="J329" i="2"/>
  <c r="K331" i="4" l="1"/>
  <c r="G304" i="3"/>
  <c r="I332" i="4"/>
  <c r="C304" i="3"/>
  <c r="H303" i="3"/>
  <c r="I331" i="2"/>
  <c r="J330" i="2"/>
  <c r="G305" i="3" l="1"/>
  <c r="I333" i="4"/>
  <c r="K332" i="4"/>
  <c r="J333" i="4"/>
  <c r="J332" i="4"/>
  <c r="C305" i="3"/>
  <c r="H304" i="3"/>
  <c r="I332" i="2"/>
  <c r="J331" i="2"/>
  <c r="K333" i="4" l="1"/>
  <c r="G306" i="3"/>
  <c r="I334" i="4"/>
  <c r="H305" i="3"/>
  <c r="C306" i="3"/>
  <c r="J332" i="2"/>
  <c r="I333" i="2"/>
  <c r="K334" i="4" l="1"/>
  <c r="G307" i="3"/>
  <c r="I335" i="4"/>
  <c r="J335" i="4" s="1"/>
  <c r="J334" i="4"/>
  <c r="C307" i="3"/>
  <c r="H306" i="3"/>
  <c r="I334" i="2"/>
  <c r="J333" i="2"/>
  <c r="K335" i="4" l="1"/>
  <c r="G308" i="3"/>
  <c r="I336" i="4"/>
  <c r="C308" i="3"/>
  <c r="I335" i="2"/>
  <c r="J335" i="2" s="1"/>
  <c r="H307" i="3"/>
  <c r="J334" i="2"/>
  <c r="K336" i="4" l="1"/>
  <c r="G309" i="3"/>
  <c r="I337" i="4"/>
  <c r="J336" i="4"/>
  <c r="C309" i="3"/>
  <c r="H308" i="3"/>
  <c r="I336" i="2"/>
  <c r="K337" i="4" l="1"/>
  <c r="J337" i="4"/>
  <c r="G310" i="3"/>
  <c r="I338" i="4"/>
  <c r="J338" i="4" s="1"/>
  <c r="C310" i="3"/>
  <c r="H309" i="3"/>
  <c r="I337" i="2"/>
  <c r="J337" i="2" s="1"/>
  <c r="J336" i="2"/>
  <c r="G311" i="3" l="1"/>
  <c r="I339" i="4"/>
  <c r="K338" i="4"/>
  <c r="J339" i="4"/>
  <c r="C311" i="3"/>
  <c r="I338" i="2"/>
  <c r="J338" i="2" s="1"/>
  <c r="H310" i="3"/>
  <c r="K339" i="4" l="1"/>
  <c r="G312" i="3"/>
  <c r="I340" i="4"/>
  <c r="C312" i="3"/>
  <c r="H311" i="3"/>
  <c r="I339" i="2"/>
  <c r="J339" i="2" s="1"/>
  <c r="G313" i="3" l="1"/>
  <c r="I341" i="4"/>
  <c r="K340" i="4"/>
  <c r="J341" i="4"/>
  <c r="J340" i="4"/>
  <c r="H312" i="3"/>
  <c r="C313" i="3"/>
  <c r="I340" i="2"/>
  <c r="J340" i="2" s="1"/>
  <c r="K341" i="4" l="1"/>
  <c r="G314" i="3"/>
  <c r="I342" i="4"/>
  <c r="C314" i="3"/>
  <c r="H313" i="3"/>
  <c r="I341" i="2"/>
  <c r="J341" i="2" s="1"/>
  <c r="K342" i="4" l="1"/>
  <c r="G315" i="3"/>
  <c r="I343" i="4"/>
  <c r="J342" i="4"/>
  <c r="C315" i="3"/>
  <c r="H314" i="3"/>
  <c r="I342" i="2"/>
  <c r="K343" i="4" l="1"/>
  <c r="G316" i="3"/>
  <c r="I344" i="4"/>
  <c r="J343" i="4"/>
  <c r="C316" i="3"/>
  <c r="I343" i="2"/>
  <c r="J343" i="2" s="1"/>
  <c r="H315" i="3"/>
  <c r="J342" i="2"/>
  <c r="K344" i="4" l="1"/>
  <c r="G317" i="3"/>
  <c r="I345" i="4"/>
  <c r="J344" i="4"/>
  <c r="H316" i="3"/>
  <c r="C317" i="3"/>
  <c r="I344" i="2"/>
  <c r="K345" i="4" l="1"/>
  <c r="G318" i="3"/>
  <c r="I346" i="4"/>
  <c r="J346" i="4" s="1"/>
  <c r="J345" i="4"/>
  <c r="C318" i="3"/>
  <c r="I345" i="2"/>
  <c r="H317" i="3"/>
  <c r="J344" i="2"/>
  <c r="K346" i="4" l="1"/>
  <c r="G319" i="3"/>
  <c r="I347" i="4"/>
  <c r="C319" i="3"/>
  <c r="J345" i="2"/>
  <c r="H318" i="3"/>
  <c r="I346" i="2"/>
  <c r="G320" i="3" l="1"/>
  <c r="I348" i="4"/>
  <c r="K347" i="4"/>
  <c r="J348" i="4"/>
  <c r="J347" i="4"/>
  <c r="C320" i="3"/>
  <c r="H319" i="3"/>
  <c r="I347" i="2"/>
  <c r="J347" i="2" s="1"/>
  <c r="J346" i="2"/>
  <c r="K348" i="4" l="1"/>
  <c r="G321" i="3"/>
  <c r="I349" i="4"/>
  <c r="J349" i="4" s="1"/>
  <c r="C321" i="3"/>
  <c r="H320" i="3"/>
  <c r="I348" i="2"/>
  <c r="J348" i="2" s="1"/>
  <c r="K349" i="4" l="1"/>
  <c r="G322" i="3"/>
  <c r="I350" i="4"/>
  <c r="C322" i="3"/>
  <c r="H321" i="3"/>
  <c r="I349" i="2"/>
  <c r="J349" i="2" s="1"/>
  <c r="K350" i="4" l="1"/>
  <c r="G323" i="3"/>
  <c r="I351" i="4"/>
  <c r="J351" i="4" s="1"/>
  <c r="J350" i="4"/>
  <c r="C323" i="3"/>
  <c r="H322" i="3"/>
  <c r="I350" i="2"/>
  <c r="K351" i="4" l="1"/>
  <c r="G324" i="3"/>
  <c r="I352" i="4"/>
  <c r="C324" i="3"/>
  <c r="H323" i="3"/>
  <c r="J350" i="2"/>
  <c r="I351" i="2"/>
  <c r="K352" i="4" l="1"/>
  <c r="G325" i="3"/>
  <c r="I353" i="4"/>
  <c r="J353" i="4" s="1"/>
  <c r="J352" i="4"/>
  <c r="H324" i="3"/>
  <c r="C325" i="3"/>
  <c r="I352" i="2"/>
  <c r="J351" i="2"/>
  <c r="G326" i="3" l="1"/>
  <c r="I354" i="4"/>
  <c r="K353" i="4"/>
  <c r="J354" i="4"/>
  <c r="H325" i="3"/>
  <c r="C326" i="3"/>
  <c r="I353" i="2"/>
  <c r="J353" i="2" s="1"/>
  <c r="J352" i="2"/>
  <c r="K354" i="4" l="1"/>
  <c r="G327" i="3"/>
  <c r="I355" i="4"/>
  <c r="C327" i="3"/>
  <c r="H326" i="3"/>
  <c r="I354" i="2"/>
  <c r="K355" i="4" l="1"/>
  <c r="G328" i="3"/>
  <c r="I356" i="4"/>
  <c r="J355" i="4"/>
  <c r="H327" i="3"/>
  <c r="C328" i="3"/>
  <c r="J354" i="2"/>
  <c r="I355" i="2"/>
  <c r="K356" i="4" l="1"/>
  <c r="G329" i="3"/>
  <c r="I357" i="4"/>
  <c r="J356" i="4"/>
  <c r="C329" i="3"/>
  <c r="H328" i="3"/>
  <c r="I356" i="2"/>
  <c r="J355" i="2"/>
  <c r="K357" i="4" l="1"/>
  <c r="G330" i="3"/>
  <c r="I358" i="4"/>
  <c r="J358" i="4" s="1"/>
  <c r="J357" i="4"/>
  <c r="C330" i="3"/>
  <c r="H329" i="3"/>
  <c r="I357" i="2"/>
  <c r="J357" i="2" s="1"/>
  <c r="J356" i="2"/>
  <c r="K358" i="4" l="1"/>
  <c r="G331" i="3"/>
  <c r="I359" i="4"/>
  <c r="C331" i="3"/>
  <c r="H330" i="3"/>
  <c r="I358" i="2"/>
  <c r="J358" i="2" s="1"/>
  <c r="K359" i="4" l="1"/>
  <c r="J360" i="4"/>
  <c r="J359" i="4"/>
  <c r="G332" i="3"/>
  <c r="I360" i="4"/>
  <c r="C332" i="3"/>
  <c r="I359" i="2"/>
  <c r="J359" i="2" s="1"/>
  <c r="H331" i="3"/>
  <c r="G333" i="3" l="1"/>
  <c r="I361" i="4"/>
  <c r="K360" i="4"/>
  <c r="J361" i="4"/>
  <c r="C333" i="3"/>
  <c r="H332" i="3"/>
  <c r="I360" i="2"/>
  <c r="K361" i="4" l="1"/>
  <c r="G334" i="3"/>
  <c r="I362" i="4"/>
  <c r="H333" i="3"/>
  <c r="C334" i="3"/>
  <c r="J360" i="2"/>
  <c r="I361" i="2"/>
  <c r="K362" i="4" l="1"/>
  <c r="G335" i="3"/>
  <c r="I363" i="4"/>
  <c r="J362" i="4"/>
  <c r="C335" i="3"/>
  <c r="H334" i="3"/>
  <c r="I362" i="2"/>
  <c r="J362" i="2" s="1"/>
  <c r="J361" i="2"/>
  <c r="K363" i="4" l="1"/>
  <c r="G336" i="3"/>
  <c r="I364" i="4"/>
  <c r="J363" i="4"/>
  <c r="C336" i="3"/>
  <c r="H335" i="3"/>
  <c r="I363" i="2"/>
  <c r="J363" i="2" s="1"/>
  <c r="K364" i="4" l="1"/>
  <c r="G337" i="3"/>
  <c r="I365" i="4"/>
  <c r="J365" i="4" s="1"/>
  <c r="J364" i="4"/>
  <c r="C337" i="3"/>
  <c r="I364" i="2"/>
  <c r="J364" i="2" s="1"/>
  <c r="H336" i="3"/>
  <c r="K365" i="4" l="1"/>
  <c r="G338" i="3"/>
  <c r="I366" i="4"/>
  <c r="J366" i="4" s="1"/>
  <c r="C338" i="3"/>
  <c r="H337" i="3"/>
  <c r="I365" i="2"/>
  <c r="J365" i="2" s="1"/>
  <c r="G339" i="3" l="1"/>
  <c r="I367" i="4"/>
  <c r="K366" i="4"/>
  <c r="C339" i="3"/>
  <c r="H338" i="3"/>
  <c r="I366" i="2"/>
  <c r="K367" i="4" l="1"/>
  <c r="G340" i="3"/>
  <c r="I368" i="4"/>
  <c r="J368" i="4" s="1"/>
  <c r="J367" i="4"/>
  <c r="H339" i="3"/>
  <c r="C340" i="3"/>
  <c r="I367" i="2"/>
  <c r="J367" i="2" s="1"/>
  <c r="J366" i="2"/>
  <c r="K368" i="4" l="1"/>
  <c r="G341" i="3"/>
  <c r="I369" i="4"/>
  <c r="H340" i="3"/>
  <c r="C341" i="3"/>
  <c r="I368" i="2"/>
  <c r="J368" i="2" s="1"/>
  <c r="G342" i="3" l="1"/>
  <c r="I370" i="4"/>
  <c r="K369" i="4"/>
  <c r="J370" i="4"/>
  <c r="J369" i="4"/>
  <c r="C342" i="3"/>
  <c r="H341" i="3"/>
  <c r="I369" i="2"/>
  <c r="J369" i="2" s="1"/>
  <c r="K370" i="4" l="1"/>
  <c r="G343" i="3"/>
  <c r="I371" i="4"/>
  <c r="C343" i="3"/>
  <c r="H342" i="3"/>
  <c r="I370" i="2"/>
  <c r="J370" i="2" s="1"/>
  <c r="K371" i="4" l="1"/>
  <c r="G344" i="3"/>
  <c r="I372" i="4"/>
  <c r="J372" i="4" s="1"/>
  <c r="J371" i="4"/>
  <c r="C344" i="3"/>
  <c r="H343" i="3"/>
  <c r="I371" i="2"/>
  <c r="J371" i="2" s="1"/>
  <c r="G345" i="3" l="1"/>
  <c r="I373" i="4"/>
  <c r="K372" i="4"/>
  <c r="J373" i="4"/>
  <c r="C345" i="3"/>
  <c r="H344" i="3"/>
  <c r="I372" i="2"/>
  <c r="J372" i="2" s="1"/>
  <c r="K373" i="4" l="1"/>
  <c r="G346" i="3"/>
  <c r="I374" i="4"/>
  <c r="H345" i="3"/>
  <c r="C346" i="3"/>
  <c r="I373" i="2"/>
  <c r="J373" i="2" s="1"/>
  <c r="K374" i="4" l="1"/>
  <c r="G347" i="3"/>
  <c r="I375" i="4"/>
  <c r="J375" i="4" s="1"/>
  <c r="J374" i="4"/>
  <c r="C347" i="3"/>
  <c r="H346" i="3"/>
  <c r="I374" i="2"/>
  <c r="J374" i="2" s="1"/>
  <c r="K375" i="4" l="1"/>
  <c r="G348" i="3"/>
  <c r="I376" i="4"/>
  <c r="H347" i="3"/>
  <c r="C348" i="3"/>
  <c r="I375" i="2"/>
  <c r="J375" i="2" s="1"/>
  <c r="K376" i="4" l="1"/>
  <c r="G349" i="3"/>
  <c r="I377" i="4"/>
  <c r="J376" i="4"/>
  <c r="C349" i="3"/>
  <c r="H348" i="3"/>
  <c r="I376" i="2"/>
  <c r="J376" i="2" s="1"/>
  <c r="K377" i="4" l="1"/>
  <c r="G350" i="3"/>
  <c r="I378" i="4"/>
  <c r="J377" i="4"/>
  <c r="C350" i="3"/>
  <c r="I377" i="2"/>
  <c r="H349" i="3"/>
  <c r="K378" i="4" l="1"/>
  <c r="G351" i="3"/>
  <c r="I379" i="4"/>
  <c r="J378" i="4"/>
  <c r="H350" i="3"/>
  <c r="C351" i="3"/>
  <c r="I378" i="2"/>
  <c r="J377" i="2"/>
  <c r="G352" i="3" l="1"/>
  <c r="I380" i="4"/>
  <c r="K379" i="4"/>
  <c r="J380" i="4"/>
  <c r="J379" i="4"/>
  <c r="C352" i="3"/>
  <c r="H351" i="3"/>
  <c r="I379" i="2"/>
  <c r="J378" i="2"/>
  <c r="K380" i="4" l="1"/>
  <c r="G353" i="3"/>
  <c r="I381" i="4"/>
  <c r="C353" i="3"/>
  <c r="H352" i="3"/>
  <c r="I380" i="2"/>
  <c r="J379" i="2"/>
  <c r="K381" i="4" l="1"/>
  <c r="G354" i="3"/>
  <c r="I382" i="4"/>
  <c r="J381" i="4"/>
  <c r="C354" i="3"/>
  <c r="H353" i="3"/>
  <c r="I381" i="2"/>
  <c r="J381" i="2" s="1"/>
  <c r="J380" i="2"/>
  <c r="K382" i="4" l="1"/>
  <c r="G355" i="3"/>
  <c r="I383" i="4"/>
  <c r="J382" i="4"/>
  <c r="C355" i="3"/>
  <c r="H354" i="3"/>
  <c r="I382" i="2"/>
  <c r="J382" i="2" s="1"/>
  <c r="K383" i="4" l="1"/>
  <c r="G356" i="3"/>
  <c r="I384" i="4"/>
  <c r="J384" i="4" s="1"/>
  <c r="J383" i="4"/>
  <c r="C356" i="3"/>
  <c r="H355" i="3"/>
  <c r="I383" i="2"/>
  <c r="J383" i="2" s="1"/>
  <c r="K384" i="4" l="1"/>
  <c r="G357" i="3"/>
  <c r="I385" i="4"/>
  <c r="C357" i="3"/>
  <c r="H356" i="3"/>
  <c r="I384" i="2"/>
  <c r="K385" i="4" l="1"/>
  <c r="G358" i="3"/>
  <c r="I386" i="4"/>
  <c r="J386" i="4" s="1"/>
  <c r="J385" i="4"/>
  <c r="C358" i="3"/>
  <c r="H357" i="3"/>
  <c r="I385" i="2"/>
  <c r="J385" i="2" s="1"/>
  <c r="J384" i="2"/>
  <c r="G359" i="3" l="1"/>
  <c r="I387" i="4"/>
  <c r="J387" i="4" s="1"/>
  <c r="K386" i="4"/>
  <c r="C359" i="3"/>
  <c r="H358" i="3"/>
  <c r="I386" i="2"/>
  <c r="K387" i="4" l="1"/>
  <c r="G360" i="3"/>
  <c r="I388" i="4"/>
  <c r="C360" i="3"/>
  <c r="H359" i="3"/>
  <c r="J386" i="2"/>
  <c r="I387" i="2"/>
  <c r="J387" i="2" s="1"/>
  <c r="G361" i="3" l="1"/>
  <c r="I390" i="4" s="1"/>
  <c r="K390" i="4" s="1"/>
  <c r="I389" i="4"/>
  <c r="K388" i="4"/>
  <c r="J389" i="4"/>
  <c r="J388" i="4"/>
  <c r="C361" i="3"/>
  <c r="H360" i="3"/>
  <c r="I388" i="2"/>
  <c r="K389" i="4" l="1"/>
  <c r="J390" i="4"/>
  <c r="H361" i="3"/>
  <c r="I389" i="2"/>
  <c r="J388" i="2"/>
  <c r="I390" i="2" l="1"/>
  <c r="J390" i="2" s="1"/>
  <c r="J389" i="2"/>
</calcChain>
</file>

<file path=xl/sharedStrings.xml><?xml version="1.0" encoding="utf-8"?>
<sst xmlns="http://schemas.openxmlformats.org/spreadsheetml/2006/main" count="57" uniqueCount="34">
  <si>
    <t>Average Extra</t>
  </si>
  <si>
    <t>$ Paid to date</t>
  </si>
  <si>
    <t>Breakeven Sale</t>
  </si>
  <si>
    <t>Month/Year</t>
  </si>
  <si>
    <t>Interest</t>
  </si>
  <si>
    <t>Extra</t>
  </si>
  <si>
    <t>Regular</t>
  </si>
  <si>
    <t>Rate</t>
  </si>
  <si>
    <t>Balance</t>
  </si>
  <si>
    <t>% of loan left</t>
  </si>
  <si>
    <t>(Amortisation)</t>
  </si>
  <si>
    <t>(Principal Reduced)</t>
  </si>
  <si>
    <t>(Extra repayments)</t>
  </si>
  <si>
    <t>Progess</t>
  </si>
  <si>
    <t>Redraw</t>
  </si>
  <si>
    <t>Outstanding</t>
  </si>
  <si>
    <t>Future Month</t>
  </si>
  <si>
    <t>Months Ahead</t>
  </si>
  <si>
    <t>Expected Finish</t>
  </si>
  <si>
    <t>Months to E.F.</t>
  </si>
  <si>
    <t>balance + Redraw</t>
  </si>
  <si>
    <t>March 2031</t>
  </si>
  <si>
    <t>April 2028</t>
  </si>
  <si>
    <t>Payment #</t>
  </si>
  <si>
    <t>Month</t>
  </si>
  <si>
    <t>Capital Reduced</t>
  </si>
  <si>
    <t>$ Remaining</t>
  </si>
  <si>
    <t>% Remaining</t>
  </si>
  <si>
    <t>Start</t>
  </si>
  <si>
    <t># Payments</t>
  </si>
  <si>
    <t>% Interest</t>
  </si>
  <si>
    <t>Start Date</t>
  </si>
  <si>
    <t>Payment $</t>
  </si>
  <si>
    <t>Interest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</si>
</sst>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3" formatCode="_-* #,##0.00_-;\-* #,##0.00_-;_-* &quot;-&quot;??_-;_-@_-"/>
    <numFmt numFmtId="164" formatCode="_(* #,##0.00_);_(* \(#,##0.00\);_(* &quot;-&quot;??_);_(@_)"/>
    <numFmt numFmtId="165" formatCode="_-\$* #,##0.00_-;&quot;-$&quot;* #,##0.00_-;_-\$* \-??_-;_-@_-"/>
    <numFmt numFmtId="166" formatCode="0.000%"/>
    <numFmt numFmtId="167" formatCode="\$#,##0.00;[Red]&quot;-$&quot;#,##0.00"/>
    <numFmt numFmtId="168" formatCode="0.0%"/>
  </numFmts>
  <fonts count="12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indexed="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6">
    <xf numFmtId="0" fontId="0" fillId="0" borderId="0"/>
    <xf numFmtId="165" fontId="7" fillId="0" borderId="0" applyFill="0" applyBorder="0" applyAlignment="0" applyProtection="0"/>
    <xf numFmtId="9" fontId="7" fillId="0" borderId="0" applyFill="0" applyBorder="0" applyAlignment="0" applyProtection="0"/>
    <xf numFmtId="0" fontId="10" fillId="0" borderId="4" applyNumberFormat="0" applyFill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63">
    <xf numFmtId="0" fontId="0" fillId="0" borderId="0" xfId="0"/>
    <xf numFmtId="165" fontId="0" fillId="0" borderId="0" xfId="0" applyNumberFormat="1"/>
    <xf numFmtId="0" fontId="0" fillId="0" borderId="0" xfId="0" applyBorder="1"/>
    <xf numFmtId="10" fontId="0" fillId="0" borderId="0" xfId="0" applyNumberFormat="1"/>
    <xf numFmtId="2" fontId="3" fillId="3" borderId="1" xfId="0" applyNumberFormat="1" applyFont="1" applyFill="1" applyBorder="1" applyAlignment="1">
      <alignment wrapText="1"/>
    </xf>
    <xf numFmtId="165" fontId="3" fillId="3" borderId="1" xfId="0" applyNumberFormat="1" applyFont="1" applyFill="1" applyBorder="1" applyAlignment="1">
      <alignment horizontal="right"/>
    </xf>
    <xf numFmtId="10" fontId="0" fillId="3" borderId="0" xfId="0" applyNumberFormat="1" applyFill="1"/>
    <xf numFmtId="0" fontId="0" fillId="3" borderId="0" xfId="0" applyFill="1" applyAlignment="1">
      <alignment horizontal="right"/>
    </xf>
    <xf numFmtId="0" fontId="3" fillId="3" borderId="1" xfId="0" applyFont="1" applyFill="1" applyBorder="1" applyAlignment="1">
      <alignment wrapText="1"/>
    </xf>
    <xf numFmtId="10" fontId="3" fillId="3" borderId="0" xfId="0" applyNumberFormat="1" applyFont="1" applyFill="1"/>
    <xf numFmtId="0" fontId="3" fillId="3" borderId="0" xfId="0" applyFont="1" applyFill="1" applyAlignment="1">
      <alignment horizontal="right"/>
    </xf>
    <xf numFmtId="10" fontId="3" fillId="3" borderId="1" xfId="0" applyNumberFormat="1" applyFont="1" applyFill="1" applyBorder="1"/>
    <xf numFmtId="165" fontId="3" fillId="3" borderId="1" xfId="1" applyFont="1" applyFill="1" applyBorder="1" applyAlignment="1" applyProtection="1">
      <alignment horizontal="right"/>
    </xf>
    <xf numFmtId="49" fontId="3" fillId="3" borderId="1" xfId="0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/>
    </xf>
    <xf numFmtId="0" fontId="3" fillId="3" borderId="0" xfId="0" applyFont="1" applyFill="1"/>
    <xf numFmtId="0" fontId="0" fillId="3" borderId="0" xfId="0" applyFill="1"/>
    <xf numFmtId="10" fontId="3" fillId="0" borderId="0" xfId="0" applyNumberFormat="1" applyFont="1"/>
    <xf numFmtId="10" fontId="0" fillId="0" borderId="0" xfId="0" applyNumberFormat="1" applyBorder="1"/>
    <xf numFmtId="17" fontId="0" fillId="0" borderId="0" xfId="0" applyNumberFormat="1" applyBorder="1"/>
    <xf numFmtId="165" fontId="0" fillId="0" borderId="0" xfId="1" applyFont="1" applyFill="1" applyBorder="1" applyAlignment="1" applyProtection="1"/>
    <xf numFmtId="166" fontId="0" fillId="0" borderId="0" xfId="2" applyNumberFormat="1" applyFont="1" applyFill="1" applyBorder="1" applyAlignment="1" applyProtection="1"/>
    <xf numFmtId="10" fontId="0" fillId="0" borderId="0" xfId="2" applyNumberFormat="1" applyFont="1" applyFill="1" applyBorder="1" applyAlignment="1" applyProtection="1"/>
    <xf numFmtId="167" fontId="0" fillId="0" borderId="0" xfId="0" applyNumberFormat="1" applyBorder="1"/>
    <xf numFmtId="17" fontId="0" fillId="0" borderId="0" xfId="0" applyNumberFormat="1"/>
    <xf numFmtId="167" fontId="0" fillId="0" borderId="0" xfId="0" applyNumberFormat="1"/>
    <xf numFmtId="9" fontId="0" fillId="0" borderId="0" xfId="2" applyFont="1" applyFill="1" applyBorder="1" applyAlignment="1" applyProtection="1"/>
    <xf numFmtId="165" fontId="7" fillId="0" borderId="0" xfId="1"/>
    <xf numFmtId="165" fontId="3" fillId="4" borderId="3" xfId="1" applyFont="1" applyFill="1" applyBorder="1" applyAlignment="1" applyProtection="1"/>
    <xf numFmtId="165" fontId="3" fillId="5" borderId="2" xfId="1" applyFont="1" applyFill="1" applyBorder="1" applyAlignment="1" applyProtection="1"/>
    <xf numFmtId="165" fontId="3" fillId="4" borderId="3" xfId="1" applyFont="1" applyFill="1" applyBorder="1"/>
    <xf numFmtId="165" fontId="7" fillId="0" borderId="0" xfId="1" applyFill="1" applyBorder="1"/>
    <xf numFmtId="165" fontId="9" fillId="0" borderId="0" xfId="0" applyNumberFormat="1" applyFont="1"/>
    <xf numFmtId="165" fontId="3" fillId="6" borderId="3" xfId="1" applyFont="1" applyFill="1" applyBorder="1"/>
    <xf numFmtId="8" fontId="0" fillId="0" borderId="0" xfId="0" applyNumberFormat="1"/>
    <xf numFmtId="8" fontId="0" fillId="0" borderId="0" xfId="0" applyNumberFormat="1" applyBorder="1"/>
    <xf numFmtId="8" fontId="5" fillId="2" borderId="0" xfId="0" applyNumberFormat="1" applyFont="1" applyFill="1"/>
    <xf numFmtId="8" fontId="6" fillId="2" borderId="0" xfId="0" applyNumberFormat="1" applyFont="1" applyFill="1"/>
    <xf numFmtId="8" fontId="4" fillId="2" borderId="0" xfId="0" applyNumberFormat="1" applyFont="1" applyFill="1" applyBorder="1"/>
    <xf numFmtId="8" fontId="0" fillId="0" borderId="0" xfId="1" applyNumberFormat="1" applyFont="1" applyFill="1" applyBorder="1" applyAlignment="1" applyProtection="1"/>
    <xf numFmtId="8" fontId="6" fillId="0" borderId="0" xfId="1" applyNumberFormat="1" applyFont="1" applyFill="1" applyBorder="1" applyAlignment="1" applyProtection="1"/>
    <xf numFmtId="8" fontId="7" fillId="0" borderId="0" xfId="1" applyNumberFormat="1" applyFill="1" applyBorder="1" applyAlignment="1" applyProtection="1"/>
    <xf numFmtId="8" fontId="8" fillId="0" borderId="0" xfId="1" applyNumberFormat="1" applyFont="1" applyFill="1" applyBorder="1" applyAlignment="1" applyProtection="1"/>
    <xf numFmtId="164" fontId="0" fillId="0" borderId="0" xfId="0" applyNumberFormat="1" applyBorder="1"/>
    <xf numFmtId="43" fontId="0" fillId="0" borderId="0" xfId="0" applyNumberFormat="1"/>
    <xf numFmtId="165" fontId="7" fillId="0" borderId="0" xfId="1" applyBorder="1"/>
    <xf numFmtId="165" fontId="7" fillId="0" borderId="0" xfId="1" applyFill="1" applyBorder="1" applyAlignment="1" applyProtection="1"/>
    <xf numFmtId="0" fontId="10" fillId="0" borderId="4" xfId="3" applyAlignment="1">
      <alignment horizontal="center"/>
    </xf>
    <xf numFmtId="0" fontId="2" fillId="7" borderId="4" xfId="4" applyBorder="1" applyAlignment="1">
      <alignment horizontal="center"/>
    </xf>
    <xf numFmtId="0" fontId="2" fillId="7" borderId="0" xfId="4"/>
    <xf numFmtId="165" fontId="2" fillId="7" borderId="0" xfId="4" applyNumberFormat="1"/>
    <xf numFmtId="10" fontId="2" fillId="7" borderId="0" xfId="4" applyNumberFormat="1"/>
    <xf numFmtId="14" fontId="2" fillId="7" borderId="0" xfId="4" applyNumberFormat="1"/>
    <xf numFmtId="8" fontId="2" fillId="7" borderId="0" xfId="4" applyNumberFormat="1"/>
    <xf numFmtId="0" fontId="11" fillId="7" borderId="0" xfId="4" applyFont="1"/>
    <xf numFmtId="168" fontId="10" fillId="0" borderId="4" xfId="3" applyNumberFormat="1" applyFill="1" applyAlignment="1" applyProtection="1">
      <alignment horizontal="center"/>
    </xf>
    <xf numFmtId="168" fontId="0" fillId="0" borderId="0" xfId="2" applyNumberFormat="1" applyFont="1" applyFill="1" applyBorder="1" applyAlignment="1" applyProtection="1"/>
    <xf numFmtId="8" fontId="1" fillId="8" borderId="5" xfId="5" applyNumberFormat="1" applyBorder="1" applyAlignment="1" applyProtection="1"/>
    <xf numFmtId="166" fontId="1" fillId="8" borderId="5" xfId="5" applyNumberFormat="1" applyBorder="1" applyAlignment="1" applyProtection="1"/>
    <xf numFmtId="165" fontId="1" fillId="8" borderId="5" xfId="5" applyNumberFormat="1" applyBorder="1" applyAlignment="1" applyProtection="1"/>
    <xf numFmtId="165" fontId="1" fillId="8" borderId="5" xfId="5" applyNumberFormat="1" applyBorder="1"/>
    <xf numFmtId="0" fontId="1" fillId="8" borderId="5" xfId="5" applyBorder="1"/>
    <xf numFmtId="8" fontId="1" fillId="8" borderId="5" xfId="5" applyNumberFormat="1" applyBorder="1"/>
  </cellXfs>
  <cellStyles count="6">
    <cellStyle name="20% - Accent1" xfId="4" builtinId="30"/>
    <cellStyle name="20% - Accent5" xfId="5" builtinId="46"/>
    <cellStyle name="Currency" xfId="1" builtinId="4"/>
    <cellStyle name="Heading 3" xfId="3" builtinId="18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964753718468827E-2"/>
          <c:y val="3.5874439461883414E-2"/>
          <c:w val="0.90145135249261032"/>
          <c:h val="0.94845543420592915"/>
        </c:manualLayout>
      </c:layout>
      <c:lineChart>
        <c:grouping val="standard"/>
        <c:varyColors val="0"/>
        <c:ser>
          <c:idx val="0"/>
          <c:order val="0"/>
          <c:tx>
            <c:strRef>
              <c:f>'2 - Mortgage'!$B$26</c:f>
              <c:strCache>
                <c:ptCount val="1"/>
                <c:pt idx="0">
                  <c:v>Interest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'2 - Mortgage'!$A$31:$A$111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'2 - Mortgage'!$B$31:$B$111</c:f>
              <c:numCache>
                <c:formatCode>"$"#,##0.00_);[Red]\("$"#,##0.00\)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7-465C-9053-86780572145D}"/>
            </c:ext>
          </c:extLst>
        </c:ser>
        <c:ser>
          <c:idx val="1"/>
          <c:order val="1"/>
          <c:tx>
            <c:strRef>
              <c:f>'2 - Mortgage'!$C$26</c:f>
              <c:strCache>
                <c:ptCount val="1"/>
                <c:pt idx="0">
                  <c:v>Extra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cat>
            <c:numRef>
              <c:f>'2 - Mortgage'!$A$31:$A$111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'2 - Mortgage'!$C$31:$C$113</c:f>
              <c:numCache>
                <c:formatCode>"$"#,##0.00_);[Red]\("$"#,##0.00\)</c:formatCode>
                <c:ptCount val="8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17-465C-9053-86780572145D}"/>
            </c:ext>
          </c:extLst>
        </c:ser>
        <c:ser>
          <c:idx val="2"/>
          <c:order val="2"/>
          <c:tx>
            <c:strRef>
              <c:f>'2 - Mortgage'!$D$26</c:f>
              <c:strCache>
                <c:ptCount val="1"/>
                <c:pt idx="0">
                  <c:v>Regular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cat>
            <c:numRef>
              <c:f>'2 - Mortgage'!$A$31:$A$111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'2 - Mortgage'!$D$31:$D$111</c:f>
              <c:numCache>
                <c:formatCode>"$"#,##0.00_);[Red]\("$"#,##0.00\)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17-465C-9053-86780572145D}"/>
            </c:ext>
          </c:extLst>
        </c:ser>
        <c:ser>
          <c:idx val="3"/>
          <c:order val="3"/>
          <c:tx>
            <c:strRef>
              <c:f>'2 - Mortgage'!$E$26</c:f>
              <c:strCache>
                <c:ptCount val="1"/>
                <c:pt idx="0">
                  <c:v>Rate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'2 - Mortgage'!$A$31:$A$111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'2 - Mortgage'!$E$31:$E$111</c:f>
              <c:numCache>
                <c:formatCode>0.000%</c:formatCode>
                <c:ptCount val="8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17-465C-9053-867805721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44488"/>
        <c:axId val="481251544"/>
      </c:lineChart>
      <c:dateAx>
        <c:axId val="4812444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51544"/>
        <c:crossesAt val="0"/>
        <c:auto val="1"/>
        <c:lblOffset val="100"/>
        <c:baseTimeUnit val="months"/>
      </c:dateAx>
      <c:valAx>
        <c:axId val="481251544"/>
        <c:scaling>
          <c:orientation val="minMax"/>
          <c:max val="8000"/>
          <c:min val="-80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&quot;$&quot;#,##0.00_);[Red]\(&quot;$&quot;#,##0.0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444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0699" r="0.75000000000000699" t="1" header="0.51180555555555562" footer="0.51180555555555562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84631161001691"/>
          <c:y val="3.5874439461883414E-2"/>
          <c:w val="0.77279634481902915"/>
          <c:h val="0.74887892376681664"/>
        </c:manualLayout>
      </c:layout>
      <c:lineChart>
        <c:grouping val="standard"/>
        <c:varyColors val="0"/>
        <c:ser>
          <c:idx val="0"/>
          <c:order val="0"/>
          <c:tx>
            <c:strRef>
              <c:f>'2 - Mortgage'!$F$26</c:f>
              <c:strCache>
                <c:ptCount val="1"/>
                <c:pt idx="0">
                  <c:v>Balance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'2 - Mortgage'!$A$31:$A$390</c:f>
              <c:numCache>
                <c:formatCode>mmm\-yy</c:formatCode>
                <c:ptCount val="360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  <c:pt idx="81">
                  <c:v>42064</c:v>
                </c:pt>
                <c:pt idx="82">
                  <c:v>42095</c:v>
                </c:pt>
                <c:pt idx="83">
                  <c:v>42125</c:v>
                </c:pt>
                <c:pt idx="84">
                  <c:v>42156</c:v>
                </c:pt>
                <c:pt idx="85">
                  <c:v>42186</c:v>
                </c:pt>
                <c:pt idx="86">
                  <c:v>42217</c:v>
                </c:pt>
                <c:pt idx="87">
                  <c:v>42248</c:v>
                </c:pt>
                <c:pt idx="88">
                  <c:v>42278</c:v>
                </c:pt>
                <c:pt idx="89">
                  <c:v>42309</c:v>
                </c:pt>
                <c:pt idx="90">
                  <c:v>42339</c:v>
                </c:pt>
                <c:pt idx="91">
                  <c:v>42370</c:v>
                </c:pt>
                <c:pt idx="92">
                  <c:v>42401</c:v>
                </c:pt>
                <c:pt idx="93">
                  <c:v>42430</c:v>
                </c:pt>
                <c:pt idx="94">
                  <c:v>42461</c:v>
                </c:pt>
                <c:pt idx="95">
                  <c:v>42491</c:v>
                </c:pt>
                <c:pt idx="96">
                  <c:v>42522</c:v>
                </c:pt>
                <c:pt idx="97">
                  <c:v>42552</c:v>
                </c:pt>
                <c:pt idx="98">
                  <c:v>42583</c:v>
                </c:pt>
                <c:pt idx="99">
                  <c:v>42614</c:v>
                </c:pt>
                <c:pt idx="100">
                  <c:v>42644</c:v>
                </c:pt>
                <c:pt idx="101">
                  <c:v>42675</c:v>
                </c:pt>
                <c:pt idx="102">
                  <c:v>42705</c:v>
                </c:pt>
                <c:pt idx="103">
                  <c:v>42736</c:v>
                </c:pt>
                <c:pt idx="104">
                  <c:v>42767</c:v>
                </c:pt>
                <c:pt idx="105">
                  <c:v>42795</c:v>
                </c:pt>
                <c:pt idx="106">
                  <c:v>42826</c:v>
                </c:pt>
                <c:pt idx="107">
                  <c:v>42856</c:v>
                </c:pt>
                <c:pt idx="108">
                  <c:v>42887</c:v>
                </c:pt>
                <c:pt idx="109">
                  <c:v>42917</c:v>
                </c:pt>
                <c:pt idx="110">
                  <c:v>42948</c:v>
                </c:pt>
                <c:pt idx="111">
                  <c:v>42979</c:v>
                </c:pt>
                <c:pt idx="112">
                  <c:v>43009</c:v>
                </c:pt>
                <c:pt idx="113">
                  <c:v>43040</c:v>
                </c:pt>
                <c:pt idx="114">
                  <c:v>43070</c:v>
                </c:pt>
                <c:pt idx="115">
                  <c:v>43101</c:v>
                </c:pt>
                <c:pt idx="116">
                  <c:v>43132</c:v>
                </c:pt>
                <c:pt idx="117">
                  <c:v>43160</c:v>
                </c:pt>
                <c:pt idx="118">
                  <c:v>43191</c:v>
                </c:pt>
                <c:pt idx="119">
                  <c:v>43221</c:v>
                </c:pt>
                <c:pt idx="120">
                  <c:v>43252</c:v>
                </c:pt>
                <c:pt idx="121">
                  <c:v>43282</c:v>
                </c:pt>
                <c:pt idx="122">
                  <c:v>43313</c:v>
                </c:pt>
                <c:pt idx="123">
                  <c:v>43344</c:v>
                </c:pt>
                <c:pt idx="124">
                  <c:v>43374</c:v>
                </c:pt>
                <c:pt idx="125">
                  <c:v>43405</c:v>
                </c:pt>
                <c:pt idx="126">
                  <c:v>43435</c:v>
                </c:pt>
                <c:pt idx="127">
                  <c:v>43466</c:v>
                </c:pt>
                <c:pt idx="128">
                  <c:v>43497</c:v>
                </c:pt>
                <c:pt idx="129">
                  <c:v>43525</c:v>
                </c:pt>
                <c:pt idx="130">
                  <c:v>43556</c:v>
                </c:pt>
                <c:pt idx="131">
                  <c:v>43586</c:v>
                </c:pt>
                <c:pt idx="132">
                  <c:v>43617</c:v>
                </c:pt>
                <c:pt idx="133">
                  <c:v>43647</c:v>
                </c:pt>
                <c:pt idx="134">
                  <c:v>43678</c:v>
                </c:pt>
                <c:pt idx="135">
                  <c:v>43709</c:v>
                </c:pt>
                <c:pt idx="136">
                  <c:v>43739</c:v>
                </c:pt>
                <c:pt idx="137">
                  <c:v>43770</c:v>
                </c:pt>
                <c:pt idx="138">
                  <c:v>43800</c:v>
                </c:pt>
                <c:pt idx="139">
                  <c:v>43831</c:v>
                </c:pt>
                <c:pt idx="140">
                  <c:v>43862</c:v>
                </c:pt>
                <c:pt idx="141">
                  <c:v>43891</c:v>
                </c:pt>
                <c:pt idx="142">
                  <c:v>43922</c:v>
                </c:pt>
                <c:pt idx="143">
                  <c:v>43952</c:v>
                </c:pt>
                <c:pt idx="144">
                  <c:v>43983</c:v>
                </c:pt>
                <c:pt idx="145">
                  <c:v>44013</c:v>
                </c:pt>
                <c:pt idx="146">
                  <c:v>44044</c:v>
                </c:pt>
                <c:pt idx="147">
                  <c:v>44075</c:v>
                </c:pt>
                <c:pt idx="148">
                  <c:v>44105</c:v>
                </c:pt>
                <c:pt idx="149">
                  <c:v>44136</c:v>
                </c:pt>
                <c:pt idx="150">
                  <c:v>44166</c:v>
                </c:pt>
                <c:pt idx="151">
                  <c:v>44197</c:v>
                </c:pt>
                <c:pt idx="152">
                  <c:v>44228</c:v>
                </c:pt>
                <c:pt idx="153">
                  <c:v>44256</c:v>
                </c:pt>
                <c:pt idx="154">
                  <c:v>44287</c:v>
                </c:pt>
                <c:pt idx="155">
                  <c:v>44317</c:v>
                </c:pt>
                <c:pt idx="156">
                  <c:v>44348</c:v>
                </c:pt>
                <c:pt idx="157">
                  <c:v>44378</c:v>
                </c:pt>
                <c:pt idx="158">
                  <c:v>44409</c:v>
                </c:pt>
                <c:pt idx="159">
                  <c:v>44440</c:v>
                </c:pt>
                <c:pt idx="160">
                  <c:v>44470</c:v>
                </c:pt>
                <c:pt idx="161">
                  <c:v>44501</c:v>
                </c:pt>
                <c:pt idx="162">
                  <c:v>44531</c:v>
                </c:pt>
                <c:pt idx="163">
                  <c:v>44562</c:v>
                </c:pt>
                <c:pt idx="164">
                  <c:v>44593</c:v>
                </c:pt>
                <c:pt idx="165">
                  <c:v>44621</c:v>
                </c:pt>
                <c:pt idx="166">
                  <c:v>44652</c:v>
                </c:pt>
                <c:pt idx="167">
                  <c:v>44682</c:v>
                </c:pt>
                <c:pt idx="168">
                  <c:v>44713</c:v>
                </c:pt>
                <c:pt idx="169">
                  <c:v>44743</c:v>
                </c:pt>
                <c:pt idx="170">
                  <c:v>44774</c:v>
                </c:pt>
                <c:pt idx="171">
                  <c:v>44805</c:v>
                </c:pt>
                <c:pt idx="172">
                  <c:v>44835</c:v>
                </c:pt>
                <c:pt idx="173">
                  <c:v>44866</c:v>
                </c:pt>
                <c:pt idx="174">
                  <c:v>44896</c:v>
                </c:pt>
                <c:pt idx="175">
                  <c:v>44927</c:v>
                </c:pt>
                <c:pt idx="176">
                  <c:v>44958</c:v>
                </c:pt>
                <c:pt idx="177">
                  <c:v>44986</c:v>
                </c:pt>
                <c:pt idx="178">
                  <c:v>45017</c:v>
                </c:pt>
                <c:pt idx="179">
                  <c:v>45047</c:v>
                </c:pt>
                <c:pt idx="180">
                  <c:v>45078</c:v>
                </c:pt>
                <c:pt idx="181">
                  <c:v>45108</c:v>
                </c:pt>
                <c:pt idx="182">
                  <c:v>45139</c:v>
                </c:pt>
                <c:pt idx="183">
                  <c:v>45170</c:v>
                </c:pt>
                <c:pt idx="184">
                  <c:v>45200</c:v>
                </c:pt>
                <c:pt idx="185">
                  <c:v>45231</c:v>
                </c:pt>
                <c:pt idx="186">
                  <c:v>45261</c:v>
                </c:pt>
                <c:pt idx="187">
                  <c:v>45292</c:v>
                </c:pt>
                <c:pt idx="188">
                  <c:v>45323</c:v>
                </c:pt>
                <c:pt idx="189">
                  <c:v>45352</c:v>
                </c:pt>
                <c:pt idx="190">
                  <c:v>45383</c:v>
                </c:pt>
                <c:pt idx="191">
                  <c:v>45413</c:v>
                </c:pt>
                <c:pt idx="192">
                  <c:v>45444</c:v>
                </c:pt>
                <c:pt idx="193">
                  <c:v>45474</c:v>
                </c:pt>
                <c:pt idx="194">
                  <c:v>45505</c:v>
                </c:pt>
                <c:pt idx="195">
                  <c:v>45536</c:v>
                </c:pt>
                <c:pt idx="196">
                  <c:v>45566</c:v>
                </c:pt>
                <c:pt idx="197">
                  <c:v>45597</c:v>
                </c:pt>
                <c:pt idx="198">
                  <c:v>45627</c:v>
                </c:pt>
                <c:pt idx="199">
                  <c:v>45658</c:v>
                </c:pt>
                <c:pt idx="200">
                  <c:v>45689</c:v>
                </c:pt>
                <c:pt idx="201">
                  <c:v>45717</c:v>
                </c:pt>
                <c:pt idx="202">
                  <c:v>45748</c:v>
                </c:pt>
                <c:pt idx="203">
                  <c:v>45778</c:v>
                </c:pt>
                <c:pt idx="204">
                  <c:v>45809</c:v>
                </c:pt>
                <c:pt idx="205">
                  <c:v>45839</c:v>
                </c:pt>
                <c:pt idx="206">
                  <c:v>45870</c:v>
                </c:pt>
                <c:pt idx="207">
                  <c:v>45901</c:v>
                </c:pt>
                <c:pt idx="208">
                  <c:v>45931</c:v>
                </c:pt>
                <c:pt idx="209">
                  <c:v>45962</c:v>
                </c:pt>
                <c:pt idx="210">
                  <c:v>45992</c:v>
                </c:pt>
                <c:pt idx="211">
                  <c:v>46023</c:v>
                </c:pt>
                <c:pt idx="212">
                  <c:v>46054</c:v>
                </c:pt>
                <c:pt idx="213">
                  <c:v>46082</c:v>
                </c:pt>
                <c:pt idx="214">
                  <c:v>46113</c:v>
                </c:pt>
                <c:pt idx="215">
                  <c:v>46143</c:v>
                </c:pt>
                <c:pt idx="216">
                  <c:v>46174</c:v>
                </c:pt>
                <c:pt idx="217">
                  <c:v>46204</c:v>
                </c:pt>
                <c:pt idx="218">
                  <c:v>46235</c:v>
                </c:pt>
                <c:pt idx="219">
                  <c:v>46266</c:v>
                </c:pt>
                <c:pt idx="220">
                  <c:v>46296</c:v>
                </c:pt>
                <c:pt idx="221">
                  <c:v>46327</c:v>
                </c:pt>
                <c:pt idx="222">
                  <c:v>46357</c:v>
                </c:pt>
                <c:pt idx="223">
                  <c:v>46388</c:v>
                </c:pt>
                <c:pt idx="224">
                  <c:v>46419</c:v>
                </c:pt>
                <c:pt idx="225">
                  <c:v>46447</c:v>
                </c:pt>
                <c:pt idx="226">
                  <c:v>46478</c:v>
                </c:pt>
                <c:pt idx="227">
                  <c:v>46508</c:v>
                </c:pt>
                <c:pt idx="228">
                  <c:v>46539</c:v>
                </c:pt>
                <c:pt idx="229">
                  <c:v>46569</c:v>
                </c:pt>
                <c:pt idx="230">
                  <c:v>46600</c:v>
                </c:pt>
                <c:pt idx="231">
                  <c:v>46631</c:v>
                </c:pt>
                <c:pt idx="232">
                  <c:v>46661</c:v>
                </c:pt>
                <c:pt idx="233">
                  <c:v>46692</c:v>
                </c:pt>
                <c:pt idx="234">
                  <c:v>46722</c:v>
                </c:pt>
                <c:pt idx="235">
                  <c:v>46753</c:v>
                </c:pt>
                <c:pt idx="236">
                  <c:v>46784</c:v>
                </c:pt>
                <c:pt idx="237">
                  <c:v>46813</c:v>
                </c:pt>
                <c:pt idx="238">
                  <c:v>46844</c:v>
                </c:pt>
                <c:pt idx="239">
                  <c:v>46874</c:v>
                </c:pt>
                <c:pt idx="240">
                  <c:v>46905</c:v>
                </c:pt>
                <c:pt idx="241">
                  <c:v>46935</c:v>
                </c:pt>
                <c:pt idx="242">
                  <c:v>46966</c:v>
                </c:pt>
                <c:pt idx="243">
                  <c:v>46997</c:v>
                </c:pt>
                <c:pt idx="244">
                  <c:v>47027</c:v>
                </c:pt>
                <c:pt idx="245">
                  <c:v>47058</c:v>
                </c:pt>
                <c:pt idx="246">
                  <c:v>47088</c:v>
                </c:pt>
                <c:pt idx="247">
                  <c:v>47119</c:v>
                </c:pt>
                <c:pt idx="248">
                  <c:v>47150</c:v>
                </c:pt>
                <c:pt idx="249">
                  <c:v>47178</c:v>
                </c:pt>
                <c:pt idx="250">
                  <c:v>47209</c:v>
                </c:pt>
                <c:pt idx="251">
                  <c:v>47239</c:v>
                </c:pt>
                <c:pt idx="252">
                  <c:v>47270</c:v>
                </c:pt>
                <c:pt idx="253">
                  <c:v>47300</c:v>
                </c:pt>
                <c:pt idx="254">
                  <c:v>47331</c:v>
                </c:pt>
                <c:pt idx="255">
                  <c:v>47362</c:v>
                </c:pt>
                <c:pt idx="256">
                  <c:v>47392</c:v>
                </c:pt>
                <c:pt idx="257">
                  <c:v>47423</c:v>
                </c:pt>
                <c:pt idx="258">
                  <c:v>47453</c:v>
                </c:pt>
                <c:pt idx="259">
                  <c:v>47484</c:v>
                </c:pt>
                <c:pt idx="260">
                  <c:v>47515</c:v>
                </c:pt>
                <c:pt idx="261">
                  <c:v>47543</c:v>
                </c:pt>
                <c:pt idx="262">
                  <c:v>47574</c:v>
                </c:pt>
                <c:pt idx="263">
                  <c:v>47604</c:v>
                </c:pt>
                <c:pt idx="264">
                  <c:v>47635</c:v>
                </c:pt>
                <c:pt idx="265">
                  <c:v>47665</c:v>
                </c:pt>
                <c:pt idx="266">
                  <c:v>47696</c:v>
                </c:pt>
                <c:pt idx="267">
                  <c:v>47727</c:v>
                </c:pt>
                <c:pt idx="268">
                  <c:v>47757</c:v>
                </c:pt>
                <c:pt idx="269">
                  <c:v>47788</c:v>
                </c:pt>
                <c:pt idx="270">
                  <c:v>47818</c:v>
                </c:pt>
                <c:pt idx="271">
                  <c:v>47849</c:v>
                </c:pt>
                <c:pt idx="272">
                  <c:v>47880</c:v>
                </c:pt>
                <c:pt idx="273">
                  <c:v>47908</c:v>
                </c:pt>
                <c:pt idx="274">
                  <c:v>47939</c:v>
                </c:pt>
                <c:pt idx="275">
                  <c:v>47969</c:v>
                </c:pt>
                <c:pt idx="276">
                  <c:v>48000</c:v>
                </c:pt>
                <c:pt idx="277">
                  <c:v>48030</c:v>
                </c:pt>
                <c:pt idx="278">
                  <c:v>48061</c:v>
                </c:pt>
                <c:pt idx="279">
                  <c:v>48092</c:v>
                </c:pt>
                <c:pt idx="280">
                  <c:v>48122</c:v>
                </c:pt>
                <c:pt idx="281">
                  <c:v>48153</c:v>
                </c:pt>
                <c:pt idx="282">
                  <c:v>48183</c:v>
                </c:pt>
                <c:pt idx="283">
                  <c:v>48214</c:v>
                </c:pt>
                <c:pt idx="284">
                  <c:v>48245</c:v>
                </c:pt>
                <c:pt idx="285">
                  <c:v>48274</c:v>
                </c:pt>
                <c:pt idx="286">
                  <c:v>48305</c:v>
                </c:pt>
                <c:pt idx="287">
                  <c:v>48335</c:v>
                </c:pt>
                <c:pt idx="288">
                  <c:v>48366</c:v>
                </c:pt>
                <c:pt idx="289">
                  <c:v>48396</c:v>
                </c:pt>
                <c:pt idx="290">
                  <c:v>48427</c:v>
                </c:pt>
                <c:pt idx="291">
                  <c:v>48458</c:v>
                </c:pt>
                <c:pt idx="292">
                  <c:v>48488</c:v>
                </c:pt>
                <c:pt idx="293">
                  <c:v>48519</c:v>
                </c:pt>
                <c:pt idx="294">
                  <c:v>48549</c:v>
                </c:pt>
                <c:pt idx="295">
                  <c:v>48580</c:v>
                </c:pt>
                <c:pt idx="296">
                  <c:v>48611</c:v>
                </c:pt>
                <c:pt idx="297">
                  <c:v>48639</c:v>
                </c:pt>
                <c:pt idx="298">
                  <c:v>48670</c:v>
                </c:pt>
                <c:pt idx="299">
                  <c:v>48700</c:v>
                </c:pt>
                <c:pt idx="300">
                  <c:v>48731</c:v>
                </c:pt>
                <c:pt idx="301">
                  <c:v>48761</c:v>
                </c:pt>
                <c:pt idx="302">
                  <c:v>48792</c:v>
                </c:pt>
                <c:pt idx="303">
                  <c:v>48823</c:v>
                </c:pt>
                <c:pt idx="304">
                  <c:v>48853</c:v>
                </c:pt>
                <c:pt idx="305">
                  <c:v>48884</c:v>
                </c:pt>
                <c:pt idx="306">
                  <c:v>48914</c:v>
                </c:pt>
                <c:pt idx="307">
                  <c:v>48945</c:v>
                </c:pt>
                <c:pt idx="308">
                  <c:v>48976</c:v>
                </c:pt>
                <c:pt idx="309">
                  <c:v>49004</c:v>
                </c:pt>
                <c:pt idx="310">
                  <c:v>49035</c:v>
                </c:pt>
                <c:pt idx="311">
                  <c:v>49065</c:v>
                </c:pt>
                <c:pt idx="312">
                  <c:v>49096</c:v>
                </c:pt>
                <c:pt idx="313">
                  <c:v>49126</c:v>
                </c:pt>
                <c:pt idx="314">
                  <c:v>49157</c:v>
                </c:pt>
                <c:pt idx="315">
                  <c:v>49188</c:v>
                </c:pt>
                <c:pt idx="316">
                  <c:v>49218</c:v>
                </c:pt>
                <c:pt idx="317">
                  <c:v>49249</c:v>
                </c:pt>
                <c:pt idx="318">
                  <c:v>49279</c:v>
                </c:pt>
                <c:pt idx="319">
                  <c:v>49310</c:v>
                </c:pt>
                <c:pt idx="320">
                  <c:v>49341</c:v>
                </c:pt>
                <c:pt idx="321">
                  <c:v>49369</c:v>
                </c:pt>
                <c:pt idx="322">
                  <c:v>49400</c:v>
                </c:pt>
                <c:pt idx="323">
                  <c:v>49430</c:v>
                </c:pt>
                <c:pt idx="324">
                  <c:v>49461</c:v>
                </c:pt>
                <c:pt idx="325">
                  <c:v>49491</c:v>
                </c:pt>
                <c:pt idx="326">
                  <c:v>49522</c:v>
                </c:pt>
                <c:pt idx="327">
                  <c:v>49553</c:v>
                </c:pt>
                <c:pt idx="328">
                  <c:v>49583</c:v>
                </c:pt>
                <c:pt idx="329">
                  <c:v>49614</c:v>
                </c:pt>
                <c:pt idx="330">
                  <c:v>49644</c:v>
                </c:pt>
                <c:pt idx="331">
                  <c:v>49675</c:v>
                </c:pt>
                <c:pt idx="332">
                  <c:v>49706</c:v>
                </c:pt>
                <c:pt idx="333">
                  <c:v>49735</c:v>
                </c:pt>
                <c:pt idx="334">
                  <c:v>49766</c:v>
                </c:pt>
                <c:pt idx="335">
                  <c:v>49796</c:v>
                </c:pt>
                <c:pt idx="336">
                  <c:v>49827</c:v>
                </c:pt>
                <c:pt idx="337">
                  <c:v>49857</c:v>
                </c:pt>
                <c:pt idx="338">
                  <c:v>49888</c:v>
                </c:pt>
                <c:pt idx="339">
                  <c:v>49919</c:v>
                </c:pt>
                <c:pt idx="340">
                  <c:v>49949</c:v>
                </c:pt>
                <c:pt idx="341">
                  <c:v>49980</c:v>
                </c:pt>
                <c:pt idx="342">
                  <c:v>50010</c:v>
                </c:pt>
                <c:pt idx="343">
                  <c:v>50041</c:v>
                </c:pt>
                <c:pt idx="344">
                  <c:v>50072</c:v>
                </c:pt>
                <c:pt idx="345">
                  <c:v>50100</c:v>
                </c:pt>
                <c:pt idx="346">
                  <c:v>50131</c:v>
                </c:pt>
                <c:pt idx="347">
                  <c:v>50161</c:v>
                </c:pt>
                <c:pt idx="348">
                  <c:v>50192</c:v>
                </c:pt>
                <c:pt idx="349">
                  <c:v>50222</c:v>
                </c:pt>
                <c:pt idx="350">
                  <c:v>50253</c:v>
                </c:pt>
                <c:pt idx="351">
                  <c:v>50284</c:v>
                </c:pt>
                <c:pt idx="352">
                  <c:v>50314</c:v>
                </c:pt>
                <c:pt idx="353">
                  <c:v>50345</c:v>
                </c:pt>
                <c:pt idx="354">
                  <c:v>50375</c:v>
                </c:pt>
                <c:pt idx="355">
                  <c:v>50406</c:v>
                </c:pt>
                <c:pt idx="356">
                  <c:v>50437</c:v>
                </c:pt>
                <c:pt idx="357">
                  <c:v>50465</c:v>
                </c:pt>
                <c:pt idx="358">
                  <c:v>50496</c:v>
                </c:pt>
                <c:pt idx="359">
                  <c:v>50526</c:v>
                </c:pt>
              </c:numCache>
            </c:numRef>
          </c:cat>
          <c:val>
            <c:numRef>
              <c:f>'2 - Mortgage'!$F$31:$F$390</c:f>
              <c:numCache>
                <c:formatCode>_-\$* #,##0.00_-;"-$"* #,##0.00_-;_-\$* \-??_-;_-@_-</c:formatCode>
                <c:ptCount val="36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9-462F-B3D0-C7A9C2C0E3DC}"/>
            </c:ext>
          </c:extLst>
        </c:ser>
        <c:ser>
          <c:idx val="1"/>
          <c:order val="1"/>
          <c:tx>
            <c:strRef>
              <c:f>'2 - Mortgage'!$I$26</c:f>
              <c:strCache>
                <c:ptCount val="1"/>
                <c:pt idx="0">
                  <c:v>(Amortisation)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cat>
            <c:numRef>
              <c:f>'2 - Mortgage'!$A$31:$A$390</c:f>
              <c:numCache>
                <c:formatCode>mmm\-yy</c:formatCode>
                <c:ptCount val="360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  <c:pt idx="81">
                  <c:v>42064</c:v>
                </c:pt>
                <c:pt idx="82">
                  <c:v>42095</c:v>
                </c:pt>
                <c:pt idx="83">
                  <c:v>42125</c:v>
                </c:pt>
                <c:pt idx="84">
                  <c:v>42156</c:v>
                </c:pt>
                <c:pt idx="85">
                  <c:v>42186</c:v>
                </c:pt>
                <c:pt idx="86">
                  <c:v>42217</c:v>
                </c:pt>
                <c:pt idx="87">
                  <c:v>42248</c:v>
                </c:pt>
                <c:pt idx="88">
                  <c:v>42278</c:v>
                </c:pt>
                <c:pt idx="89">
                  <c:v>42309</c:v>
                </c:pt>
                <c:pt idx="90">
                  <c:v>42339</c:v>
                </c:pt>
                <c:pt idx="91">
                  <c:v>42370</c:v>
                </c:pt>
                <c:pt idx="92">
                  <c:v>42401</c:v>
                </c:pt>
                <c:pt idx="93">
                  <c:v>42430</c:v>
                </c:pt>
                <c:pt idx="94">
                  <c:v>42461</c:v>
                </c:pt>
                <c:pt idx="95">
                  <c:v>42491</c:v>
                </c:pt>
                <c:pt idx="96">
                  <c:v>42522</c:v>
                </c:pt>
                <c:pt idx="97">
                  <c:v>42552</c:v>
                </c:pt>
                <c:pt idx="98">
                  <c:v>42583</c:v>
                </c:pt>
                <c:pt idx="99">
                  <c:v>42614</c:v>
                </c:pt>
                <c:pt idx="100">
                  <c:v>42644</c:v>
                </c:pt>
                <c:pt idx="101">
                  <c:v>42675</c:v>
                </c:pt>
                <c:pt idx="102">
                  <c:v>42705</c:v>
                </c:pt>
                <c:pt idx="103">
                  <c:v>42736</c:v>
                </c:pt>
                <c:pt idx="104">
                  <c:v>42767</c:v>
                </c:pt>
                <c:pt idx="105">
                  <c:v>42795</c:v>
                </c:pt>
                <c:pt idx="106">
                  <c:v>42826</c:v>
                </c:pt>
                <c:pt idx="107">
                  <c:v>42856</c:v>
                </c:pt>
                <c:pt idx="108">
                  <c:v>42887</c:v>
                </c:pt>
                <c:pt idx="109">
                  <c:v>42917</c:v>
                </c:pt>
                <c:pt idx="110">
                  <c:v>42948</c:v>
                </c:pt>
                <c:pt idx="111">
                  <c:v>42979</c:v>
                </c:pt>
                <c:pt idx="112">
                  <c:v>43009</c:v>
                </c:pt>
                <c:pt idx="113">
                  <c:v>43040</c:v>
                </c:pt>
                <c:pt idx="114">
                  <c:v>43070</c:v>
                </c:pt>
                <c:pt idx="115">
                  <c:v>43101</c:v>
                </c:pt>
                <c:pt idx="116">
                  <c:v>43132</c:v>
                </c:pt>
                <c:pt idx="117">
                  <c:v>43160</c:v>
                </c:pt>
                <c:pt idx="118">
                  <c:v>43191</c:v>
                </c:pt>
                <c:pt idx="119">
                  <c:v>43221</c:v>
                </c:pt>
                <c:pt idx="120">
                  <c:v>43252</c:v>
                </c:pt>
                <c:pt idx="121">
                  <c:v>43282</c:v>
                </c:pt>
                <c:pt idx="122">
                  <c:v>43313</c:v>
                </c:pt>
                <c:pt idx="123">
                  <c:v>43344</c:v>
                </c:pt>
                <c:pt idx="124">
                  <c:v>43374</c:v>
                </c:pt>
                <c:pt idx="125">
                  <c:v>43405</c:v>
                </c:pt>
                <c:pt idx="126">
                  <c:v>43435</c:v>
                </c:pt>
                <c:pt idx="127">
                  <c:v>43466</c:v>
                </c:pt>
                <c:pt idx="128">
                  <c:v>43497</c:v>
                </c:pt>
                <c:pt idx="129">
                  <c:v>43525</c:v>
                </c:pt>
                <c:pt idx="130">
                  <c:v>43556</c:v>
                </c:pt>
                <c:pt idx="131">
                  <c:v>43586</c:v>
                </c:pt>
                <c:pt idx="132">
                  <c:v>43617</c:v>
                </c:pt>
                <c:pt idx="133">
                  <c:v>43647</c:v>
                </c:pt>
                <c:pt idx="134">
                  <c:v>43678</c:v>
                </c:pt>
                <c:pt idx="135">
                  <c:v>43709</c:v>
                </c:pt>
                <c:pt idx="136">
                  <c:v>43739</c:v>
                </c:pt>
                <c:pt idx="137">
                  <c:v>43770</c:v>
                </c:pt>
                <c:pt idx="138">
                  <c:v>43800</c:v>
                </c:pt>
                <c:pt idx="139">
                  <c:v>43831</c:v>
                </c:pt>
                <c:pt idx="140">
                  <c:v>43862</c:v>
                </c:pt>
                <c:pt idx="141">
                  <c:v>43891</c:v>
                </c:pt>
                <c:pt idx="142">
                  <c:v>43922</c:v>
                </c:pt>
                <c:pt idx="143">
                  <c:v>43952</c:v>
                </c:pt>
                <c:pt idx="144">
                  <c:v>43983</c:v>
                </c:pt>
                <c:pt idx="145">
                  <c:v>44013</c:v>
                </c:pt>
                <c:pt idx="146">
                  <c:v>44044</c:v>
                </c:pt>
                <c:pt idx="147">
                  <c:v>44075</c:v>
                </c:pt>
                <c:pt idx="148">
                  <c:v>44105</c:v>
                </c:pt>
                <c:pt idx="149">
                  <c:v>44136</c:v>
                </c:pt>
                <c:pt idx="150">
                  <c:v>44166</c:v>
                </c:pt>
                <c:pt idx="151">
                  <c:v>44197</c:v>
                </c:pt>
                <c:pt idx="152">
                  <c:v>44228</c:v>
                </c:pt>
                <c:pt idx="153">
                  <c:v>44256</c:v>
                </c:pt>
                <c:pt idx="154">
                  <c:v>44287</c:v>
                </c:pt>
                <c:pt idx="155">
                  <c:v>44317</c:v>
                </c:pt>
                <c:pt idx="156">
                  <c:v>44348</c:v>
                </c:pt>
                <c:pt idx="157">
                  <c:v>44378</c:v>
                </c:pt>
                <c:pt idx="158">
                  <c:v>44409</c:v>
                </c:pt>
                <c:pt idx="159">
                  <c:v>44440</c:v>
                </c:pt>
                <c:pt idx="160">
                  <c:v>44470</c:v>
                </c:pt>
                <c:pt idx="161">
                  <c:v>44501</c:v>
                </c:pt>
                <c:pt idx="162">
                  <c:v>44531</c:v>
                </c:pt>
                <c:pt idx="163">
                  <c:v>44562</c:v>
                </c:pt>
                <c:pt idx="164">
                  <c:v>44593</c:v>
                </c:pt>
                <c:pt idx="165">
                  <c:v>44621</c:v>
                </c:pt>
                <c:pt idx="166">
                  <c:v>44652</c:v>
                </c:pt>
                <c:pt idx="167">
                  <c:v>44682</c:v>
                </c:pt>
                <c:pt idx="168">
                  <c:v>44713</c:v>
                </c:pt>
                <c:pt idx="169">
                  <c:v>44743</c:v>
                </c:pt>
                <c:pt idx="170">
                  <c:v>44774</c:v>
                </c:pt>
                <c:pt idx="171">
                  <c:v>44805</c:v>
                </c:pt>
                <c:pt idx="172">
                  <c:v>44835</c:v>
                </c:pt>
                <c:pt idx="173">
                  <c:v>44866</c:v>
                </c:pt>
                <c:pt idx="174">
                  <c:v>44896</c:v>
                </c:pt>
                <c:pt idx="175">
                  <c:v>44927</c:v>
                </c:pt>
                <c:pt idx="176">
                  <c:v>44958</c:v>
                </c:pt>
                <c:pt idx="177">
                  <c:v>44986</c:v>
                </c:pt>
                <c:pt idx="178">
                  <c:v>45017</c:v>
                </c:pt>
                <c:pt idx="179">
                  <c:v>45047</c:v>
                </c:pt>
                <c:pt idx="180">
                  <c:v>45078</c:v>
                </c:pt>
                <c:pt idx="181">
                  <c:v>45108</c:v>
                </c:pt>
                <c:pt idx="182">
                  <c:v>45139</c:v>
                </c:pt>
                <c:pt idx="183">
                  <c:v>45170</c:v>
                </c:pt>
                <c:pt idx="184">
                  <c:v>45200</c:v>
                </c:pt>
                <c:pt idx="185">
                  <c:v>45231</c:v>
                </c:pt>
                <c:pt idx="186">
                  <c:v>45261</c:v>
                </c:pt>
                <c:pt idx="187">
                  <c:v>45292</c:v>
                </c:pt>
                <c:pt idx="188">
                  <c:v>45323</c:v>
                </c:pt>
                <c:pt idx="189">
                  <c:v>45352</c:v>
                </c:pt>
                <c:pt idx="190">
                  <c:v>45383</c:v>
                </c:pt>
                <c:pt idx="191">
                  <c:v>45413</c:v>
                </c:pt>
                <c:pt idx="192">
                  <c:v>45444</c:v>
                </c:pt>
                <c:pt idx="193">
                  <c:v>45474</c:v>
                </c:pt>
                <c:pt idx="194">
                  <c:v>45505</c:v>
                </c:pt>
                <c:pt idx="195">
                  <c:v>45536</c:v>
                </c:pt>
                <c:pt idx="196">
                  <c:v>45566</c:v>
                </c:pt>
                <c:pt idx="197">
                  <c:v>45597</c:v>
                </c:pt>
                <c:pt idx="198">
                  <c:v>45627</c:v>
                </c:pt>
                <c:pt idx="199">
                  <c:v>45658</c:v>
                </c:pt>
                <c:pt idx="200">
                  <c:v>45689</c:v>
                </c:pt>
                <c:pt idx="201">
                  <c:v>45717</c:v>
                </c:pt>
                <c:pt idx="202">
                  <c:v>45748</c:v>
                </c:pt>
                <c:pt idx="203">
                  <c:v>45778</c:v>
                </c:pt>
                <c:pt idx="204">
                  <c:v>45809</c:v>
                </c:pt>
                <c:pt idx="205">
                  <c:v>45839</c:v>
                </c:pt>
                <c:pt idx="206">
                  <c:v>45870</c:v>
                </c:pt>
                <c:pt idx="207">
                  <c:v>45901</c:v>
                </c:pt>
                <c:pt idx="208">
                  <c:v>45931</c:v>
                </c:pt>
                <c:pt idx="209">
                  <c:v>45962</c:v>
                </c:pt>
                <c:pt idx="210">
                  <c:v>45992</c:v>
                </c:pt>
                <c:pt idx="211">
                  <c:v>46023</c:v>
                </c:pt>
                <c:pt idx="212">
                  <c:v>46054</c:v>
                </c:pt>
                <c:pt idx="213">
                  <c:v>46082</c:v>
                </c:pt>
                <c:pt idx="214">
                  <c:v>46113</c:v>
                </c:pt>
                <c:pt idx="215">
                  <c:v>46143</c:v>
                </c:pt>
                <c:pt idx="216">
                  <c:v>46174</c:v>
                </c:pt>
                <c:pt idx="217">
                  <c:v>46204</c:v>
                </c:pt>
                <c:pt idx="218">
                  <c:v>46235</c:v>
                </c:pt>
                <c:pt idx="219">
                  <c:v>46266</c:v>
                </c:pt>
                <c:pt idx="220">
                  <c:v>46296</c:v>
                </c:pt>
                <c:pt idx="221">
                  <c:v>46327</c:v>
                </c:pt>
                <c:pt idx="222">
                  <c:v>46357</c:v>
                </c:pt>
                <c:pt idx="223">
                  <c:v>46388</c:v>
                </c:pt>
                <c:pt idx="224">
                  <c:v>46419</c:v>
                </c:pt>
                <c:pt idx="225">
                  <c:v>46447</c:v>
                </c:pt>
                <c:pt idx="226">
                  <c:v>46478</c:v>
                </c:pt>
                <c:pt idx="227">
                  <c:v>46508</c:v>
                </c:pt>
                <c:pt idx="228">
                  <c:v>46539</c:v>
                </c:pt>
                <c:pt idx="229">
                  <c:v>46569</c:v>
                </c:pt>
                <c:pt idx="230">
                  <c:v>46600</c:v>
                </c:pt>
                <c:pt idx="231">
                  <c:v>46631</c:v>
                </c:pt>
                <c:pt idx="232">
                  <c:v>46661</c:v>
                </c:pt>
                <c:pt idx="233">
                  <c:v>46692</c:v>
                </c:pt>
                <c:pt idx="234">
                  <c:v>46722</c:v>
                </c:pt>
                <c:pt idx="235">
                  <c:v>46753</c:v>
                </c:pt>
                <c:pt idx="236">
                  <c:v>46784</c:v>
                </c:pt>
                <c:pt idx="237">
                  <c:v>46813</c:v>
                </c:pt>
                <c:pt idx="238">
                  <c:v>46844</c:v>
                </c:pt>
                <c:pt idx="239">
                  <c:v>46874</c:v>
                </c:pt>
                <c:pt idx="240">
                  <c:v>46905</c:v>
                </c:pt>
                <c:pt idx="241">
                  <c:v>46935</c:v>
                </c:pt>
                <c:pt idx="242">
                  <c:v>46966</c:v>
                </c:pt>
                <c:pt idx="243">
                  <c:v>46997</c:v>
                </c:pt>
                <c:pt idx="244">
                  <c:v>47027</c:v>
                </c:pt>
                <c:pt idx="245">
                  <c:v>47058</c:v>
                </c:pt>
                <c:pt idx="246">
                  <c:v>47088</c:v>
                </c:pt>
                <c:pt idx="247">
                  <c:v>47119</c:v>
                </c:pt>
                <c:pt idx="248">
                  <c:v>47150</c:v>
                </c:pt>
                <c:pt idx="249">
                  <c:v>47178</c:v>
                </c:pt>
                <c:pt idx="250">
                  <c:v>47209</c:v>
                </c:pt>
                <c:pt idx="251">
                  <c:v>47239</c:v>
                </c:pt>
                <c:pt idx="252">
                  <c:v>47270</c:v>
                </c:pt>
                <c:pt idx="253">
                  <c:v>47300</c:v>
                </c:pt>
                <c:pt idx="254">
                  <c:v>47331</c:v>
                </c:pt>
                <c:pt idx="255">
                  <c:v>47362</c:v>
                </c:pt>
                <c:pt idx="256">
                  <c:v>47392</c:v>
                </c:pt>
                <c:pt idx="257">
                  <c:v>47423</c:v>
                </c:pt>
                <c:pt idx="258">
                  <c:v>47453</c:v>
                </c:pt>
                <c:pt idx="259">
                  <c:v>47484</c:v>
                </c:pt>
                <c:pt idx="260">
                  <c:v>47515</c:v>
                </c:pt>
                <c:pt idx="261">
                  <c:v>47543</c:v>
                </c:pt>
                <c:pt idx="262">
                  <c:v>47574</c:v>
                </c:pt>
                <c:pt idx="263">
                  <c:v>47604</c:v>
                </c:pt>
                <c:pt idx="264">
                  <c:v>47635</c:v>
                </c:pt>
                <c:pt idx="265">
                  <c:v>47665</c:v>
                </c:pt>
                <c:pt idx="266">
                  <c:v>47696</c:v>
                </c:pt>
                <c:pt idx="267">
                  <c:v>47727</c:v>
                </c:pt>
                <c:pt idx="268">
                  <c:v>47757</c:v>
                </c:pt>
                <c:pt idx="269">
                  <c:v>47788</c:v>
                </c:pt>
                <c:pt idx="270">
                  <c:v>47818</c:v>
                </c:pt>
                <c:pt idx="271">
                  <c:v>47849</c:v>
                </c:pt>
                <c:pt idx="272">
                  <c:v>47880</c:v>
                </c:pt>
                <c:pt idx="273">
                  <c:v>47908</c:v>
                </c:pt>
                <c:pt idx="274">
                  <c:v>47939</c:v>
                </c:pt>
                <c:pt idx="275">
                  <c:v>47969</c:v>
                </c:pt>
                <c:pt idx="276">
                  <c:v>48000</c:v>
                </c:pt>
                <c:pt idx="277">
                  <c:v>48030</c:v>
                </c:pt>
                <c:pt idx="278">
                  <c:v>48061</c:v>
                </c:pt>
                <c:pt idx="279">
                  <c:v>48092</c:v>
                </c:pt>
                <c:pt idx="280">
                  <c:v>48122</c:v>
                </c:pt>
                <c:pt idx="281">
                  <c:v>48153</c:v>
                </c:pt>
                <c:pt idx="282">
                  <c:v>48183</c:v>
                </c:pt>
                <c:pt idx="283">
                  <c:v>48214</c:v>
                </c:pt>
                <c:pt idx="284">
                  <c:v>48245</c:v>
                </c:pt>
                <c:pt idx="285">
                  <c:v>48274</c:v>
                </c:pt>
                <c:pt idx="286">
                  <c:v>48305</c:v>
                </c:pt>
                <c:pt idx="287">
                  <c:v>48335</c:v>
                </c:pt>
                <c:pt idx="288">
                  <c:v>48366</c:v>
                </c:pt>
                <c:pt idx="289">
                  <c:v>48396</c:v>
                </c:pt>
                <c:pt idx="290">
                  <c:v>48427</c:v>
                </c:pt>
                <c:pt idx="291">
                  <c:v>48458</c:v>
                </c:pt>
                <c:pt idx="292">
                  <c:v>48488</c:v>
                </c:pt>
                <c:pt idx="293">
                  <c:v>48519</c:v>
                </c:pt>
                <c:pt idx="294">
                  <c:v>48549</c:v>
                </c:pt>
                <c:pt idx="295">
                  <c:v>48580</c:v>
                </c:pt>
                <c:pt idx="296">
                  <c:v>48611</c:v>
                </c:pt>
                <c:pt idx="297">
                  <c:v>48639</c:v>
                </c:pt>
                <c:pt idx="298">
                  <c:v>48670</c:v>
                </c:pt>
                <c:pt idx="299">
                  <c:v>48700</c:v>
                </c:pt>
                <c:pt idx="300">
                  <c:v>48731</c:v>
                </c:pt>
                <c:pt idx="301">
                  <c:v>48761</c:v>
                </c:pt>
                <c:pt idx="302">
                  <c:v>48792</c:v>
                </c:pt>
                <c:pt idx="303">
                  <c:v>48823</c:v>
                </c:pt>
                <c:pt idx="304">
                  <c:v>48853</c:v>
                </c:pt>
                <c:pt idx="305">
                  <c:v>48884</c:v>
                </c:pt>
                <c:pt idx="306">
                  <c:v>48914</c:v>
                </c:pt>
                <c:pt idx="307">
                  <c:v>48945</c:v>
                </c:pt>
                <c:pt idx="308">
                  <c:v>48976</c:v>
                </c:pt>
                <c:pt idx="309">
                  <c:v>49004</c:v>
                </c:pt>
                <c:pt idx="310">
                  <c:v>49035</c:v>
                </c:pt>
                <c:pt idx="311">
                  <c:v>49065</c:v>
                </c:pt>
                <c:pt idx="312">
                  <c:v>49096</c:v>
                </c:pt>
                <c:pt idx="313">
                  <c:v>49126</c:v>
                </c:pt>
                <c:pt idx="314">
                  <c:v>49157</c:v>
                </c:pt>
                <c:pt idx="315">
                  <c:v>49188</c:v>
                </c:pt>
                <c:pt idx="316">
                  <c:v>49218</c:v>
                </c:pt>
                <c:pt idx="317">
                  <c:v>49249</c:v>
                </c:pt>
                <c:pt idx="318">
                  <c:v>49279</c:v>
                </c:pt>
                <c:pt idx="319">
                  <c:v>49310</c:v>
                </c:pt>
                <c:pt idx="320">
                  <c:v>49341</c:v>
                </c:pt>
                <c:pt idx="321">
                  <c:v>49369</c:v>
                </c:pt>
                <c:pt idx="322">
                  <c:v>49400</c:v>
                </c:pt>
                <c:pt idx="323">
                  <c:v>49430</c:v>
                </c:pt>
                <c:pt idx="324">
                  <c:v>49461</c:v>
                </c:pt>
                <c:pt idx="325">
                  <c:v>49491</c:v>
                </c:pt>
                <c:pt idx="326">
                  <c:v>49522</c:v>
                </c:pt>
                <c:pt idx="327">
                  <c:v>49553</c:v>
                </c:pt>
                <c:pt idx="328">
                  <c:v>49583</c:v>
                </c:pt>
                <c:pt idx="329">
                  <c:v>49614</c:v>
                </c:pt>
                <c:pt idx="330">
                  <c:v>49644</c:v>
                </c:pt>
                <c:pt idx="331">
                  <c:v>49675</c:v>
                </c:pt>
                <c:pt idx="332">
                  <c:v>49706</c:v>
                </c:pt>
                <c:pt idx="333">
                  <c:v>49735</c:v>
                </c:pt>
                <c:pt idx="334">
                  <c:v>49766</c:v>
                </c:pt>
                <c:pt idx="335">
                  <c:v>49796</c:v>
                </c:pt>
                <c:pt idx="336">
                  <c:v>49827</c:v>
                </c:pt>
                <c:pt idx="337">
                  <c:v>49857</c:v>
                </c:pt>
                <c:pt idx="338">
                  <c:v>49888</c:v>
                </c:pt>
                <c:pt idx="339">
                  <c:v>49919</c:v>
                </c:pt>
                <c:pt idx="340">
                  <c:v>49949</c:v>
                </c:pt>
                <c:pt idx="341">
                  <c:v>49980</c:v>
                </c:pt>
                <c:pt idx="342">
                  <c:v>50010</c:v>
                </c:pt>
                <c:pt idx="343">
                  <c:v>50041</c:v>
                </c:pt>
                <c:pt idx="344">
                  <c:v>50072</c:v>
                </c:pt>
                <c:pt idx="345">
                  <c:v>50100</c:v>
                </c:pt>
                <c:pt idx="346">
                  <c:v>50131</c:v>
                </c:pt>
                <c:pt idx="347">
                  <c:v>50161</c:v>
                </c:pt>
                <c:pt idx="348">
                  <c:v>50192</c:v>
                </c:pt>
                <c:pt idx="349">
                  <c:v>50222</c:v>
                </c:pt>
                <c:pt idx="350">
                  <c:v>50253</c:v>
                </c:pt>
                <c:pt idx="351">
                  <c:v>50284</c:v>
                </c:pt>
                <c:pt idx="352">
                  <c:v>50314</c:v>
                </c:pt>
                <c:pt idx="353">
                  <c:v>50345</c:v>
                </c:pt>
                <c:pt idx="354">
                  <c:v>50375</c:v>
                </c:pt>
                <c:pt idx="355">
                  <c:v>50406</c:v>
                </c:pt>
                <c:pt idx="356">
                  <c:v>50437</c:v>
                </c:pt>
                <c:pt idx="357">
                  <c:v>50465</c:v>
                </c:pt>
                <c:pt idx="358">
                  <c:v>50496</c:v>
                </c:pt>
                <c:pt idx="359">
                  <c:v>50526</c:v>
                </c:pt>
              </c:numCache>
            </c:numRef>
          </c:cat>
          <c:val>
            <c:numRef>
              <c:f>'2 - Mortgage'!$I$31:$I$390</c:f>
              <c:numCache>
                <c:formatCode>\$#,##0.00;[Red]"-$"#,##0.00</c:formatCode>
                <c:ptCount val="360"/>
                <c:pt idx="0">
                  <c:v>249863.44345763803</c:v>
                </c:pt>
                <c:pt idx="1">
                  <c:v>249725.86274120834</c:v>
                </c:pt>
                <c:pt idx="2">
                  <c:v>249587.25016940545</c:v>
                </c:pt>
                <c:pt idx="3">
                  <c:v>249447.59800331402</c:v>
                </c:pt>
                <c:pt idx="4">
                  <c:v>249306.89844597693</c:v>
                </c:pt>
                <c:pt idx="5">
                  <c:v>249165.14364195979</c:v>
                </c:pt>
                <c:pt idx="6">
                  <c:v>249022.32567691253</c:v>
                </c:pt>
                <c:pt idx="7">
                  <c:v>248878.4365771274</c:v>
                </c:pt>
                <c:pt idx="8">
                  <c:v>248733.46830909391</c:v>
                </c:pt>
                <c:pt idx="9">
                  <c:v>248587.41277905015</c:v>
                </c:pt>
                <c:pt idx="10">
                  <c:v>248440.26183253108</c:v>
                </c:pt>
                <c:pt idx="11">
                  <c:v>248292.00725391309</c:v>
                </c:pt>
                <c:pt idx="12">
                  <c:v>248142.6407659555</c:v>
                </c:pt>
                <c:pt idx="13">
                  <c:v>247992.15402933821</c:v>
                </c:pt>
                <c:pt idx="14">
                  <c:v>247840.5386421963</c:v>
                </c:pt>
                <c:pt idx="15">
                  <c:v>247687.78613965082</c:v>
                </c:pt>
                <c:pt idx="16">
                  <c:v>247533.88799333625</c:v>
                </c:pt>
                <c:pt idx="17">
                  <c:v>247378.83561092432</c:v>
                </c:pt>
                <c:pt idx="18">
                  <c:v>247222.62033564429</c:v>
                </c:pt>
                <c:pt idx="19">
                  <c:v>247065.23344579965</c:v>
                </c:pt>
                <c:pt idx="20">
                  <c:v>246906.66615428118</c:v>
                </c:pt>
                <c:pt idx="21">
                  <c:v>246746.90960807633</c:v>
                </c:pt>
                <c:pt idx="22">
                  <c:v>246585.95488777495</c:v>
                </c:pt>
                <c:pt idx="23">
                  <c:v>246423.7930070713</c:v>
                </c:pt>
                <c:pt idx="24">
                  <c:v>246260.41491226238</c:v>
                </c:pt>
                <c:pt idx="25">
                  <c:v>246095.81148174239</c:v>
                </c:pt>
                <c:pt idx="26">
                  <c:v>245929.97352549349</c:v>
                </c:pt>
                <c:pt idx="27">
                  <c:v>245762.89178457274</c:v>
                </c:pt>
                <c:pt idx="28">
                  <c:v>245594.55693059508</c:v>
                </c:pt>
                <c:pt idx="29">
                  <c:v>245424.95956521257</c:v>
                </c:pt>
                <c:pt idx="30">
                  <c:v>245254.09021958971</c:v>
                </c:pt>
                <c:pt idx="31">
                  <c:v>245081.93935387468</c:v>
                </c:pt>
                <c:pt idx="32">
                  <c:v>244908.49735666678</c:v>
                </c:pt>
                <c:pt idx="33">
                  <c:v>244733.75454447983</c:v>
                </c:pt>
                <c:pt idx="34">
                  <c:v>244557.70116120146</c:v>
                </c:pt>
                <c:pt idx="35">
                  <c:v>244380.32737754853</c:v>
                </c:pt>
                <c:pt idx="36">
                  <c:v>244201.62329051818</c:v>
                </c:pt>
                <c:pt idx="37">
                  <c:v>244021.57892283512</c:v>
                </c:pt>
                <c:pt idx="38">
                  <c:v>243840.18422239443</c:v>
                </c:pt>
                <c:pt idx="39">
                  <c:v>243657.42906170042</c:v>
                </c:pt>
                <c:pt idx="40">
                  <c:v>243473.30323730121</c:v>
                </c:pt>
                <c:pt idx="41">
                  <c:v>243287.796469219</c:v>
                </c:pt>
                <c:pt idx="42">
                  <c:v>243100.89840037617</c:v>
                </c:pt>
                <c:pt idx="43">
                  <c:v>242912.59859601705</c:v>
                </c:pt>
                <c:pt idx="44">
                  <c:v>242722.88654312523</c:v>
                </c:pt>
                <c:pt idx="45">
                  <c:v>242531.75164983672</c:v>
                </c:pt>
                <c:pt idx="46">
                  <c:v>242339.18324484854</c:v>
                </c:pt>
                <c:pt idx="47">
                  <c:v>242145.17057682294</c:v>
                </c:pt>
                <c:pt idx="48">
                  <c:v>241949.70281378715</c:v>
                </c:pt>
                <c:pt idx="49">
                  <c:v>241752.76904252861</c:v>
                </c:pt>
                <c:pt idx="50">
                  <c:v>241554.35826798563</c:v>
                </c:pt>
                <c:pt idx="51">
                  <c:v>241354.45941263356</c:v>
                </c:pt>
                <c:pt idx="52">
                  <c:v>241153.06131586636</c:v>
                </c:pt>
                <c:pt idx="53">
                  <c:v>240950.1527333734</c:v>
                </c:pt>
                <c:pt idx="54">
                  <c:v>240745.72233651174</c:v>
                </c:pt>
                <c:pt idx="55">
                  <c:v>240539.75871167361</c:v>
                </c:pt>
                <c:pt idx="56">
                  <c:v>240332.25035964922</c:v>
                </c:pt>
                <c:pt idx="57">
                  <c:v>240123.18569498463</c:v>
                </c:pt>
                <c:pt idx="58">
                  <c:v>239912.55304533505</c:v>
                </c:pt>
                <c:pt idx="59">
                  <c:v>239700.3406508131</c:v>
                </c:pt>
                <c:pt idx="60">
                  <c:v>239486.53666333226</c:v>
                </c:pt>
                <c:pt idx="61">
                  <c:v>239271.12914594528</c:v>
                </c:pt>
                <c:pt idx="62">
                  <c:v>239054.10607217791</c:v>
                </c:pt>
                <c:pt idx="63">
                  <c:v>238835.4553253573</c:v>
                </c:pt>
                <c:pt idx="64">
                  <c:v>238615.16469793551</c:v>
                </c:pt>
                <c:pt idx="65">
                  <c:v>238393.22189080808</c:v>
                </c:pt>
                <c:pt idx="66">
                  <c:v>238169.61451262719</c:v>
                </c:pt>
                <c:pt idx="67">
                  <c:v>237944.33007910993</c:v>
                </c:pt>
                <c:pt idx="68">
                  <c:v>237717.3560123413</c:v>
                </c:pt>
                <c:pt idx="69">
                  <c:v>237488.6796400719</c:v>
                </c:pt>
                <c:pt idx="70">
                  <c:v>237258.28819501048</c:v>
                </c:pt>
                <c:pt idx="71">
                  <c:v>237026.16881411109</c:v>
                </c:pt>
                <c:pt idx="72">
                  <c:v>236792.30853785496</c:v>
                </c:pt>
                <c:pt idx="73">
                  <c:v>236556.69430952691</c:v>
                </c:pt>
                <c:pt idx="74">
                  <c:v>236319.31297448641</c:v>
                </c:pt>
                <c:pt idx="75">
                  <c:v>236080.15127943311</c:v>
                </c:pt>
                <c:pt idx="76">
                  <c:v>235839.19587166689</c:v>
                </c:pt>
                <c:pt idx="77">
                  <c:v>235596.43329834242</c:v>
                </c:pt>
                <c:pt idx="78">
                  <c:v>235351.85000571804</c:v>
                </c:pt>
                <c:pt idx="79">
                  <c:v>235105.43233839897</c:v>
                </c:pt>
                <c:pt idx="80">
                  <c:v>234857.16653857499</c:v>
                </c:pt>
                <c:pt idx="81">
                  <c:v>234607.03874525236</c:v>
                </c:pt>
                <c:pt idx="82">
                  <c:v>234355.03499347979</c:v>
                </c:pt>
                <c:pt idx="83">
                  <c:v>234101.14121356892</c:v>
                </c:pt>
                <c:pt idx="84">
                  <c:v>233845.34323030873</c:v>
                </c:pt>
                <c:pt idx="85">
                  <c:v>233587.6267621741</c:v>
                </c:pt>
                <c:pt idx="86">
                  <c:v>233327.97742052845</c:v>
                </c:pt>
                <c:pt idx="87">
                  <c:v>233066.38070882045</c:v>
                </c:pt>
                <c:pt idx="88">
                  <c:v>232802.82202177466</c:v>
                </c:pt>
                <c:pt idx="89">
                  <c:v>232537.286644576</c:v>
                </c:pt>
                <c:pt idx="90">
                  <c:v>232269.75975204835</c:v>
                </c:pt>
                <c:pt idx="91">
                  <c:v>232000.22640782676</c:v>
                </c:pt>
                <c:pt idx="92">
                  <c:v>231728.6715635235</c:v>
                </c:pt>
                <c:pt idx="93">
                  <c:v>231455.08005788797</c:v>
                </c:pt>
                <c:pt idx="94">
                  <c:v>231179.43661596018</c:v>
                </c:pt>
                <c:pt idx="95">
                  <c:v>230901.72584821793</c:v>
                </c:pt>
                <c:pt idx="96">
                  <c:v>230621.93224971762</c:v>
                </c:pt>
                <c:pt idx="97">
                  <c:v>230340.04019922853</c:v>
                </c:pt>
                <c:pt idx="98">
                  <c:v>230056.03395836079</c:v>
                </c:pt>
                <c:pt idx="99">
                  <c:v>229769.89767068654</c:v>
                </c:pt>
                <c:pt idx="100">
                  <c:v>229481.61536085472</c:v>
                </c:pt>
                <c:pt idx="101">
                  <c:v>229191.17093369918</c:v>
                </c:pt>
                <c:pt idx="102">
                  <c:v>228898.54817333998</c:v>
                </c:pt>
                <c:pt idx="103">
                  <c:v>228603.73074227807</c:v>
                </c:pt>
                <c:pt idx="104">
                  <c:v>228306.7021804832</c:v>
                </c:pt>
                <c:pt idx="105">
                  <c:v>228007.44590447488</c:v>
                </c:pt>
                <c:pt idx="106">
                  <c:v>227705.94520639649</c:v>
                </c:pt>
                <c:pt idx="107">
                  <c:v>227402.1832530825</c:v>
                </c:pt>
                <c:pt idx="108">
                  <c:v>227096.14308511867</c:v>
                </c:pt>
                <c:pt idx="109">
                  <c:v>226787.80761589512</c:v>
                </c:pt>
                <c:pt idx="110">
                  <c:v>226477.15963065237</c:v>
                </c:pt>
                <c:pt idx="111">
                  <c:v>226164.18178552031</c:v>
                </c:pt>
                <c:pt idx="112">
                  <c:v>225848.85660654976</c:v>
                </c:pt>
                <c:pt idx="113">
                  <c:v>225531.16648873693</c:v>
                </c:pt>
                <c:pt idx="114">
                  <c:v>225211.0936950405</c:v>
                </c:pt>
                <c:pt idx="115">
                  <c:v>224888.62035539135</c:v>
                </c:pt>
                <c:pt idx="116">
                  <c:v>224563.72846569482</c:v>
                </c:pt>
                <c:pt idx="117">
                  <c:v>224236.39988682559</c:v>
                </c:pt>
                <c:pt idx="118">
                  <c:v>223906.61634361482</c:v>
                </c:pt>
                <c:pt idx="119">
                  <c:v>223574.35942382997</c:v>
                </c:pt>
                <c:pt idx="120">
                  <c:v>223239.61057714673</c:v>
                </c:pt>
                <c:pt idx="121">
                  <c:v>222902.35111411338</c:v>
                </c:pt>
                <c:pt idx="122">
                  <c:v>222562.56220510727</c:v>
                </c:pt>
                <c:pt idx="123">
                  <c:v>222220.22487928363</c:v>
                </c:pt>
                <c:pt idx="124">
                  <c:v>221875.32002351631</c:v>
                </c:pt>
                <c:pt idx="125">
                  <c:v>221527.82838133074</c:v>
                </c:pt>
                <c:pt idx="126">
                  <c:v>221177.73055182875</c:v>
                </c:pt>
                <c:pt idx="127">
                  <c:v>220825.00698860551</c:v>
                </c:pt>
                <c:pt idx="128">
                  <c:v>220469.63799865809</c:v>
                </c:pt>
                <c:pt idx="129">
                  <c:v>220111.60374128606</c:v>
                </c:pt>
                <c:pt idx="130">
                  <c:v>219750.88422698376</c:v>
                </c:pt>
                <c:pt idx="131">
                  <c:v>219387.45931632418</c:v>
                </c:pt>
                <c:pt idx="132">
                  <c:v>219021.30871883465</c:v>
                </c:pt>
                <c:pt idx="133">
                  <c:v>218652.41199186395</c:v>
                </c:pt>
                <c:pt idx="134">
                  <c:v>218280.74853944097</c:v>
                </c:pt>
                <c:pt idx="135">
                  <c:v>217906.29761112481</c:v>
                </c:pt>
                <c:pt idx="136">
                  <c:v>217529.0383008463</c:v>
                </c:pt>
                <c:pt idx="137">
                  <c:v>217148.94954574067</c:v>
                </c:pt>
                <c:pt idx="138">
                  <c:v>216766.01012497177</c:v>
                </c:pt>
                <c:pt idx="139">
                  <c:v>216380.1986585471</c:v>
                </c:pt>
                <c:pt idx="140">
                  <c:v>215991.49360612425</c:v>
                </c:pt>
                <c:pt idx="141">
                  <c:v>215599.87326580822</c:v>
                </c:pt>
                <c:pt idx="142">
                  <c:v>215205.31577293982</c:v>
                </c:pt>
                <c:pt idx="143">
                  <c:v>214807.79909887491</c:v>
                </c:pt>
                <c:pt idx="144">
                  <c:v>214407.30104975452</c:v>
                </c:pt>
                <c:pt idx="145">
                  <c:v>214003.79926526573</c:v>
                </c:pt>
                <c:pt idx="146">
                  <c:v>213597.27121739325</c:v>
                </c:pt>
                <c:pt idx="147">
                  <c:v>213187.69420916174</c:v>
                </c:pt>
                <c:pt idx="148">
                  <c:v>212775.04537336848</c:v>
                </c:pt>
                <c:pt idx="149">
                  <c:v>212359.30167130681</c:v>
                </c:pt>
                <c:pt idx="150">
                  <c:v>211940.43989147965</c:v>
                </c:pt>
                <c:pt idx="151">
                  <c:v>211518.43664830379</c:v>
                </c:pt>
                <c:pt idx="152">
                  <c:v>211093.2683808041</c:v>
                </c:pt>
                <c:pt idx="153">
                  <c:v>210664.91135129819</c:v>
                </c:pt>
                <c:pt idx="154">
                  <c:v>210233.34164407096</c:v>
                </c:pt>
                <c:pt idx="155">
                  <c:v>209798.53516403952</c:v>
                </c:pt>
                <c:pt idx="156">
                  <c:v>209360.46763540787</c:v>
                </c:pt>
                <c:pt idx="157">
                  <c:v>208919.11460031147</c:v>
                </c:pt>
                <c:pt idx="158">
                  <c:v>208474.45141745184</c:v>
                </c:pt>
                <c:pt idx="159">
                  <c:v>208026.45326072077</c:v>
                </c:pt>
                <c:pt idx="160">
                  <c:v>207575.09511781423</c:v>
                </c:pt>
                <c:pt idx="161">
                  <c:v>207120.35178883589</c:v>
                </c:pt>
                <c:pt idx="162">
                  <c:v>206662.19788489019</c:v>
                </c:pt>
                <c:pt idx="163">
                  <c:v>206200.60782666493</c:v>
                </c:pt>
                <c:pt idx="164">
                  <c:v>205735.55584300295</c:v>
                </c:pt>
                <c:pt idx="165">
                  <c:v>205267.01596946351</c:v>
                </c:pt>
                <c:pt idx="166">
                  <c:v>204794.96204687253</c:v>
                </c:pt>
                <c:pt idx="167">
                  <c:v>204319.36771986212</c:v>
                </c:pt>
                <c:pt idx="168">
                  <c:v>203840.20643539913</c:v>
                </c:pt>
                <c:pt idx="169">
                  <c:v>203357.45144130266</c:v>
                </c:pt>
                <c:pt idx="170">
                  <c:v>202871.07578475049</c:v>
                </c:pt>
                <c:pt idx="171">
                  <c:v>202381.05231077416</c:v>
                </c:pt>
                <c:pt idx="172">
                  <c:v>201887.35366074301</c:v>
                </c:pt>
                <c:pt idx="173">
                  <c:v>201389.95227083663</c:v>
                </c:pt>
                <c:pt idx="174">
                  <c:v>200888.82037050594</c:v>
                </c:pt>
                <c:pt idx="175">
                  <c:v>200383.92998092278</c:v>
                </c:pt>
                <c:pt idx="176">
                  <c:v>199875.25291341776</c:v>
                </c:pt>
                <c:pt idx="177">
                  <c:v>199362.76076790644</c:v>
                </c:pt>
                <c:pt idx="178">
                  <c:v>198846.42493130377</c:v>
                </c:pt>
                <c:pt idx="179">
                  <c:v>198326.21657592661</c:v>
                </c:pt>
                <c:pt idx="180">
                  <c:v>197802.10665788411</c:v>
                </c:pt>
                <c:pt idx="181">
                  <c:v>197274.06591545627</c:v>
                </c:pt>
                <c:pt idx="182">
                  <c:v>196742.06486746023</c:v>
                </c:pt>
                <c:pt idx="183">
                  <c:v>196206.07381160423</c:v>
                </c:pt>
                <c:pt idx="184">
                  <c:v>195666.06282282932</c:v>
                </c:pt>
                <c:pt idx="185">
                  <c:v>195122.0017516386</c:v>
                </c:pt>
                <c:pt idx="186">
                  <c:v>194573.86022241393</c:v>
                </c:pt>
                <c:pt idx="187">
                  <c:v>194021.60763172008</c:v>
                </c:pt>
                <c:pt idx="188">
                  <c:v>193465.21314659601</c:v>
                </c:pt>
                <c:pt idx="189">
                  <c:v>192904.64570283351</c:v>
                </c:pt>
                <c:pt idx="190">
                  <c:v>192339.87400324282</c:v>
                </c:pt>
                <c:pt idx="191">
                  <c:v>191770.86651590519</c:v>
                </c:pt>
                <c:pt idx="192">
                  <c:v>191197.59147241252</c:v>
                </c:pt>
                <c:pt idx="193">
                  <c:v>190620.01686609365</c:v>
                </c:pt>
                <c:pt idx="194">
                  <c:v>190038.1104502274</c:v>
                </c:pt>
                <c:pt idx="195">
                  <c:v>189451.83973624214</c:v>
                </c:pt>
                <c:pt idx="196">
                  <c:v>188861.171991902</c:v>
                </c:pt>
                <c:pt idx="197">
                  <c:v>188266.07423947932</c:v>
                </c:pt>
                <c:pt idx="198">
                  <c:v>187666.51325391346</c:v>
                </c:pt>
                <c:pt idx="199">
                  <c:v>187062.45556095586</c:v>
                </c:pt>
                <c:pt idx="200">
                  <c:v>186453.86743530107</c:v>
                </c:pt>
                <c:pt idx="201">
                  <c:v>185840.71489870388</c:v>
                </c:pt>
                <c:pt idx="202">
                  <c:v>185222.9637180822</c:v>
                </c:pt>
                <c:pt idx="203">
                  <c:v>184600.57940360587</c:v>
                </c:pt>
                <c:pt idx="204">
                  <c:v>183973.52720677096</c:v>
                </c:pt>
                <c:pt idx="205">
                  <c:v>183341.77211845978</c:v>
                </c:pt>
                <c:pt idx="206">
                  <c:v>182705.27886698628</c:v>
                </c:pt>
                <c:pt idx="207">
                  <c:v>182064.01191612671</c:v>
                </c:pt>
                <c:pt idx="208">
                  <c:v>181417.93546313571</c:v>
                </c:pt>
                <c:pt idx="209">
                  <c:v>180767.01343674728</c:v>
                </c:pt>
                <c:pt idx="210">
                  <c:v>180111.20949516093</c:v>
                </c:pt>
                <c:pt idx="211">
                  <c:v>179450.48702401269</c:v>
                </c:pt>
                <c:pt idx="212">
                  <c:v>178784.80913433083</c:v>
                </c:pt>
                <c:pt idx="213">
                  <c:v>178114.13866047637</c:v>
                </c:pt>
                <c:pt idx="214">
                  <c:v>177438.43815806799</c:v>
                </c:pt>
                <c:pt idx="215">
                  <c:v>176757.66990189155</c:v>
                </c:pt>
                <c:pt idx="216">
                  <c:v>176071.79588379379</c:v>
                </c:pt>
                <c:pt idx="217">
                  <c:v>175380.77781056028</c:v>
                </c:pt>
                <c:pt idx="218">
                  <c:v>174684.57710177751</c:v>
                </c:pt>
                <c:pt idx="219">
                  <c:v>173983.15488767889</c:v>
                </c:pt>
                <c:pt idx="220">
                  <c:v>173276.47200697454</c:v>
                </c:pt>
                <c:pt idx="221">
                  <c:v>172564.48900466488</c:v>
                </c:pt>
                <c:pt idx="222">
                  <c:v>171847.16612983792</c:v>
                </c:pt>
                <c:pt idx="223">
                  <c:v>171124.46333344973</c:v>
                </c:pt>
                <c:pt idx="224">
                  <c:v>170396.34026608866</c:v>
                </c:pt>
                <c:pt idx="225">
                  <c:v>169662.75627572238</c:v>
                </c:pt>
                <c:pt idx="226">
                  <c:v>168923.67040542833</c:v>
                </c:pt>
                <c:pt idx="227">
                  <c:v>168179.04139110708</c:v>
                </c:pt>
                <c:pt idx="228">
                  <c:v>167428.82765917844</c:v>
                </c:pt>
                <c:pt idx="229">
                  <c:v>166672.98732426032</c:v>
                </c:pt>
                <c:pt idx="230">
                  <c:v>165911.47818683033</c:v>
                </c:pt>
                <c:pt idx="231">
                  <c:v>165144.25773086961</c:v>
                </c:pt>
                <c:pt idx="232">
                  <c:v>164371.28312148916</c:v>
                </c:pt>
                <c:pt idx="233">
                  <c:v>163592.51120253839</c:v>
                </c:pt>
                <c:pt idx="234">
                  <c:v>162807.89849419545</c:v>
                </c:pt>
                <c:pt idx="235">
                  <c:v>162017.40119053997</c:v>
                </c:pt>
                <c:pt idx="236">
                  <c:v>161220.97515710705</c:v>
                </c:pt>
                <c:pt idx="237">
                  <c:v>160418.57592842341</c:v>
                </c:pt>
                <c:pt idx="238">
                  <c:v>159610.15870552463</c:v>
                </c:pt>
                <c:pt idx="239">
                  <c:v>158795.6783534541</c:v>
                </c:pt>
                <c:pt idx="240">
                  <c:v>157975.08939874306</c:v>
                </c:pt>
                <c:pt idx="241">
                  <c:v>157148.34602687167</c:v>
                </c:pt>
                <c:pt idx="242">
                  <c:v>156315.40207971126</c:v>
                </c:pt>
                <c:pt idx="243">
                  <c:v>155476.21105294715</c:v>
                </c:pt>
                <c:pt idx="244">
                  <c:v>154630.72609348231</c:v>
                </c:pt>
                <c:pt idx="245">
                  <c:v>153778.89999682148</c:v>
                </c:pt>
                <c:pt idx="246">
                  <c:v>152920.68520443569</c:v>
                </c:pt>
                <c:pt idx="247">
                  <c:v>152056.033801107</c:v>
                </c:pt>
                <c:pt idx="248">
                  <c:v>151184.89751225334</c:v>
                </c:pt>
                <c:pt idx="249">
                  <c:v>150307.22770123329</c:v>
                </c:pt>
                <c:pt idx="250">
                  <c:v>149422.97536663059</c:v>
                </c:pt>
                <c:pt idx="251">
                  <c:v>148532.09113951836</c:v>
                </c:pt>
                <c:pt idx="252">
                  <c:v>147634.5252807028</c:v>
                </c:pt>
                <c:pt idx="253">
                  <c:v>146730.22767794612</c:v>
                </c:pt>
                <c:pt idx="254">
                  <c:v>145819.14784316876</c:v>
                </c:pt>
                <c:pt idx="255">
                  <c:v>144901.23490963056</c:v>
                </c:pt>
                <c:pt idx="256">
                  <c:v>143976.43762909083</c:v>
                </c:pt>
                <c:pt idx="257">
                  <c:v>143044.70436894704</c:v>
                </c:pt>
                <c:pt idx="258">
                  <c:v>142105.98310935218</c:v>
                </c:pt>
                <c:pt idx="259">
                  <c:v>141160.22144031036</c:v>
                </c:pt>
                <c:pt idx="260">
                  <c:v>140207.36655875074</c:v>
                </c:pt>
                <c:pt idx="261">
                  <c:v>139247.36526557943</c:v>
                </c:pt>
                <c:pt idx="262">
                  <c:v>138280.16396270931</c:v>
                </c:pt>
                <c:pt idx="263">
                  <c:v>137305.70865006768</c:v>
                </c:pt>
                <c:pt idx="264">
                  <c:v>136323.94492258123</c:v>
                </c:pt>
                <c:pt idx="265">
                  <c:v>135334.81796713863</c:v>
                </c:pt>
                <c:pt idx="266">
                  <c:v>134338.27255953022</c:v>
                </c:pt>
                <c:pt idx="267">
                  <c:v>133334.25306136472</c:v>
                </c:pt>
                <c:pt idx="268">
                  <c:v>132322.70341696299</c:v>
                </c:pt>
                <c:pt idx="269">
                  <c:v>131303.56715022825</c:v>
                </c:pt>
                <c:pt idx="270">
                  <c:v>130276.787361493</c:v>
                </c:pt>
                <c:pt idx="271">
                  <c:v>129242.30672434224</c:v>
                </c:pt>
                <c:pt idx="272">
                  <c:v>128200.06748241285</c:v>
                </c:pt>
                <c:pt idx="273">
                  <c:v>127150.011446169</c:v>
                </c:pt>
                <c:pt idx="274">
                  <c:v>126092.07998965331</c:v>
                </c:pt>
                <c:pt idx="275">
                  <c:v>125026.21404721375</c:v>
                </c:pt>
                <c:pt idx="276">
                  <c:v>123952.3541102059</c:v>
                </c:pt>
                <c:pt idx="277">
                  <c:v>122870.44022367048</c:v>
                </c:pt>
                <c:pt idx="278">
                  <c:v>121780.41198298606</c:v>
                </c:pt>
                <c:pt idx="279">
                  <c:v>120682.2085304965</c:v>
                </c:pt>
                <c:pt idx="280">
                  <c:v>119575.76855211327</c:v>
                </c:pt>
                <c:pt idx="281">
                  <c:v>118461.03027389216</c:v>
                </c:pt>
                <c:pt idx="282">
                  <c:v>117337.9314585844</c:v>
                </c:pt>
                <c:pt idx="283">
                  <c:v>116206.40940216182</c:v>
                </c:pt>
                <c:pt idx="284">
                  <c:v>115066.40093031609</c:v>
                </c:pt>
                <c:pt idx="285">
                  <c:v>113917.8423949315</c:v>
                </c:pt>
                <c:pt idx="286">
                  <c:v>112760.66967053154</c:v>
                </c:pt>
                <c:pt idx="287">
                  <c:v>111594.81815069857</c:v>
                </c:pt>
                <c:pt idx="288">
                  <c:v>110420.22274446685</c:v>
                </c:pt>
                <c:pt idx="289">
                  <c:v>109236.81787268839</c:v>
                </c:pt>
                <c:pt idx="290">
                  <c:v>108044.53746437161</c:v>
                </c:pt>
                <c:pt idx="291">
                  <c:v>106843.31495299244</c:v>
                </c:pt>
                <c:pt idx="292">
                  <c:v>105633.08327277793</c:v>
                </c:pt>
                <c:pt idx="293">
                  <c:v>104413.77485496181</c:v>
                </c:pt>
                <c:pt idx="294">
                  <c:v>103185.32162401207</c:v>
                </c:pt>
                <c:pt idx="295">
                  <c:v>101947.65499383021</c:v>
                </c:pt>
                <c:pt idx="296">
                  <c:v>100700.70586392198</c:v>
                </c:pt>
                <c:pt idx="297">
                  <c:v>99444.404615539432</c:v>
                </c:pt>
                <c:pt idx="298">
                  <c:v>98178.681107794022</c:v>
                </c:pt>
                <c:pt idx="299">
                  <c:v>96903.464673740527</c:v>
                </c:pt>
                <c:pt idx="300">
                  <c:v>95618.684116431628</c:v>
                </c:pt>
                <c:pt idx="301">
                  <c:v>94324.267704942904</c:v>
                </c:pt>
                <c:pt idx="302">
                  <c:v>93020.143170368014</c:v>
                </c:pt>
                <c:pt idx="303">
                  <c:v>91706.237701783815</c:v>
                </c:pt>
                <c:pt idx="304">
                  <c:v>90382.477942185244</c:v>
                </c:pt>
                <c:pt idx="305">
                  <c:v>89048.789984389674</c:v>
                </c:pt>
                <c:pt idx="306">
                  <c:v>87705.099366910639</c:v>
                </c:pt>
                <c:pt idx="307">
                  <c:v>86351.331069800508</c:v>
                </c:pt>
                <c:pt idx="308">
                  <c:v>84987.40951046205</c:v>
                </c:pt>
                <c:pt idx="309">
                  <c:v>83613.258539428556</c:v>
                </c:pt>
                <c:pt idx="310">
                  <c:v>82228.801436112321</c:v>
                </c:pt>
                <c:pt idx="311">
                  <c:v>80833.960904521213</c:v>
                </c:pt>
                <c:pt idx="312">
                  <c:v>79428.659068943161</c:v>
                </c:pt>
                <c:pt idx="313">
                  <c:v>78012.817469598274</c:v>
                </c:pt>
                <c:pt idx="314">
                  <c:v>76586.357058258305</c:v>
                </c:pt>
                <c:pt idx="315">
                  <c:v>75149.19819383329</c:v>
                </c:pt>
                <c:pt idx="316">
                  <c:v>73701.260637925079</c:v>
                </c:pt>
                <c:pt idx="317">
                  <c:v>72242.463550347558</c:v>
                </c:pt>
                <c:pt idx="318">
                  <c:v>70772.725484613213</c:v>
                </c:pt>
                <c:pt idx="319">
                  <c:v>69291.964383385857</c:v>
                </c:pt>
                <c:pt idx="320">
                  <c:v>67800.0975738993</c:v>
                </c:pt>
                <c:pt idx="321">
                  <c:v>66297.041763341593</c:v>
                </c:pt>
                <c:pt idx="322">
                  <c:v>64782.713034204702</c:v>
                </c:pt>
                <c:pt idx="323">
                  <c:v>63257.026839599283</c:v>
                </c:pt>
                <c:pt idx="324">
                  <c:v>61719.897998534325</c:v>
                </c:pt>
                <c:pt idx="325">
                  <c:v>60171.24069116138</c:v>
                </c:pt>
                <c:pt idx="326">
                  <c:v>58610.968453983136</c:v>
                </c:pt>
                <c:pt idx="327">
                  <c:v>57038.994175026055</c:v>
                </c:pt>
                <c:pt idx="328">
                  <c:v>55455.230088976794</c:v>
                </c:pt>
                <c:pt idx="329">
                  <c:v>53859.587772282168</c:v>
                </c:pt>
                <c:pt idx="330">
                  <c:v>52251.978138212333</c:v>
                </c:pt>
                <c:pt idx="331">
                  <c:v>50632.31143188697</c:v>
                </c:pt>
                <c:pt idx="332">
                  <c:v>49000.497225264167</c:v>
                </c:pt>
                <c:pt idx="333">
                  <c:v>47356.444412091696</c:v>
                </c:pt>
                <c:pt idx="334">
                  <c:v>45700.061202820427</c:v>
                </c:pt>
                <c:pt idx="335">
                  <c:v>44031.255119479625</c:v>
                </c:pt>
                <c:pt idx="336">
                  <c:v>42349.932990513771</c:v>
                </c:pt>
                <c:pt idx="337">
                  <c:v>40656.000945580672</c:v>
                </c:pt>
                <c:pt idx="338">
                  <c:v>38949.364410310569</c:v>
                </c:pt>
                <c:pt idx="339">
                  <c:v>37229.928101025944</c:v>
                </c:pt>
                <c:pt idx="340">
                  <c:v>35497.596019421682</c:v>
                </c:pt>
                <c:pt idx="341">
                  <c:v>33752.271447205392</c:v>
                </c:pt>
                <c:pt idx="342">
                  <c:v>31993.856940697478</c:v>
                </c:pt>
                <c:pt idx="343">
                  <c:v>30222.254325390753</c:v>
                </c:pt>
                <c:pt idx="344">
                  <c:v>28437.364690469229</c:v>
                </c:pt>
                <c:pt idx="345">
                  <c:v>26639.088383285794</c:v>
                </c:pt>
                <c:pt idx="346">
                  <c:v>24827.325003798484</c:v>
                </c:pt>
                <c:pt idx="347">
                  <c:v>23001.973398965016</c:v>
                </c:pt>
                <c:pt idx="348">
                  <c:v>21162.931657095298</c:v>
                </c:pt>
                <c:pt idx="349">
                  <c:v>19310.097102161559</c:v>
                </c:pt>
                <c:pt idx="350">
                  <c:v>17443.366288065816</c:v>
                </c:pt>
                <c:pt idx="351">
                  <c:v>15562.634992864354</c:v>
                </c:pt>
                <c:pt idx="352">
                  <c:v>13667.798212948881</c:v>
                </c:pt>
                <c:pt idx="353">
                  <c:v>11758.750157184042</c:v>
                </c:pt>
                <c:pt idx="354">
                  <c:v>9835.3842410009674</c:v>
                </c:pt>
                <c:pt idx="355">
                  <c:v>7897.5930804465197</c:v>
                </c:pt>
                <c:pt idx="356">
                  <c:v>5945.2684861879134</c:v>
                </c:pt>
                <c:pt idx="357">
                  <c:v>3978.3014574723675</c:v>
                </c:pt>
                <c:pt idx="358">
                  <c:v>1996.5821760414551</c:v>
                </c:pt>
                <c:pt idx="359">
                  <c:v>-1.8917489796876907E-10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9-462F-B3D0-C7A9C2C0E3DC}"/>
            </c:ext>
          </c:extLst>
        </c:ser>
        <c:ser>
          <c:idx val="2"/>
          <c:order val="2"/>
          <c:tx>
            <c:strRef>
              <c:f>'2 - Mortgage'!$G$26</c:f>
              <c:strCache>
                <c:ptCount val="1"/>
                <c:pt idx="0">
                  <c:v> Redraw </c:v>
                </c:pt>
              </c:strCache>
            </c:strRef>
          </c:tx>
          <c:marker>
            <c:symbol val="none"/>
          </c:marker>
          <c:val>
            <c:numRef>
              <c:f>'2 - Mortgage'!$G$31:$G$390</c:f>
              <c:numCache>
                <c:formatCode>_-\$* #,##0.00_-;"-$"* #,##0.00_-;_-\$* \-??_-;_-@_-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19-462F-B3D0-C7A9C2C0E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46056"/>
        <c:axId val="481248016"/>
      </c:lineChart>
      <c:dateAx>
        <c:axId val="4812460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48016"/>
        <c:crossesAt val="0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81248016"/>
        <c:scaling>
          <c:orientation val="minMax"/>
          <c:max val="250000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numFmt formatCode="_-\$* #,##0.00_-;&quot;-$&quot;* #,##0.00_-;_-\$* \-??_-;_-@_-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460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0699" r="0.75000000000000699" t="1" header="0.51180555555555562" footer="0.51180555555555562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964753718468827E-2"/>
          <c:y val="3.5874439461883414E-2"/>
          <c:w val="0.90145135249261032"/>
          <c:h val="0.94845543420592915"/>
        </c:manualLayout>
      </c:layout>
      <c:lineChart>
        <c:grouping val="standard"/>
        <c:varyColors val="0"/>
        <c:ser>
          <c:idx val="0"/>
          <c:order val="0"/>
          <c:tx>
            <c:strRef>
              <c:f>'Mortgage - example'!$B$26</c:f>
              <c:strCache>
                <c:ptCount val="1"/>
                <c:pt idx="0">
                  <c:v>Interest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'Mortgage - example'!$A$31:$A$111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'Mortgage - example'!$B$31:$B$111</c:f>
              <c:numCache>
                <c:formatCode>"$"#,##0.00_);[Red]\("$"#,##0.00\)</c:formatCode>
                <c:ptCount val="81"/>
                <c:pt idx="0">
                  <c:v>1199.1199999999999</c:v>
                </c:pt>
                <c:pt idx="1">
                  <c:v>1868.4</c:v>
                </c:pt>
                <c:pt idx="2">
                  <c:v>1875.46</c:v>
                </c:pt>
                <c:pt idx="3">
                  <c:v>1772.4</c:v>
                </c:pt>
                <c:pt idx="4">
                  <c:v>1748.41</c:v>
                </c:pt>
                <c:pt idx="5">
                  <c:v>1505.94</c:v>
                </c:pt>
                <c:pt idx="6">
                  <c:v>1401.25</c:v>
                </c:pt>
                <c:pt idx="7">
                  <c:v>1277.8499999999999</c:v>
                </c:pt>
                <c:pt idx="8">
                  <c:v>1065.21</c:v>
                </c:pt>
                <c:pt idx="9">
                  <c:v>1064.78</c:v>
                </c:pt>
                <c:pt idx="10">
                  <c:v>1018.44</c:v>
                </c:pt>
                <c:pt idx="11">
                  <c:v>1038.93</c:v>
                </c:pt>
                <c:pt idx="12">
                  <c:v>1003.26</c:v>
                </c:pt>
                <c:pt idx="13">
                  <c:v>1034.3699999999999</c:v>
                </c:pt>
                <c:pt idx="14">
                  <c:v>1031.94</c:v>
                </c:pt>
                <c:pt idx="15">
                  <c:v>993.42</c:v>
                </c:pt>
                <c:pt idx="16">
                  <c:v>1057.49</c:v>
                </c:pt>
                <c:pt idx="17">
                  <c:v>1085.54</c:v>
                </c:pt>
                <c:pt idx="18">
                  <c:v>1184.1300000000001</c:v>
                </c:pt>
                <c:pt idx="19">
                  <c:v>1197.49</c:v>
                </c:pt>
                <c:pt idx="20">
                  <c:v>1080.82</c:v>
                </c:pt>
                <c:pt idx="21">
                  <c:v>1238.3499999999999</c:v>
                </c:pt>
                <c:pt idx="22">
                  <c:v>1236.53</c:v>
                </c:pt>
                <c:pt idx="23">
                  <c:v>1339.32</c:v>
                </c:pt>
                <c:pt idx="24">
                  <c:v>1303.8399999999999</c:v>
                </c:pt>
                <c:pt idx="25">
                  <c:v>1342.5</c:v>
                </c:pt>
                <c:pt idx="26">
                  <c:v>1340.64</c:v>
                </c:pt>
                <c:pt idx="27">
                  <c:v>1293.73</c:v>
                </c:pt>
                <c:pt idx="28">
                  <c:v>1335.56</c:v>
                </c:pt>
                <c:pt idx="29">
                  <c:v>1307.6300000000001</c:v>
                </c:pt>
                <c:pt idx="30">
                  <c:v>1389.03</c:v>
                </c:pt>
                <c:pt idx="31">
                  <c:v>1380.22</c:v>
                </c:pt>
                <c:pt idx="32">
                  <c:v>1237.8800000000001</c:v>
                </c:pt>
                <c:pt idx="33">
                  <c:v>1362.2</c:v>
                </c:pt>
                <c:pt idx="34">
                  <c:v>1307.1400000000001</c:v>
                </c:pt>
                <c:pt idx="35">
                  <c:v>1339.95</c:v>
                </c:pt>
                <c:pt idx="36">
                  <c:v>1287.45</c:v>
                </c:pt>
                <c:pt idx="37">
                  <c:v>1321.87</c:v>
                </c:pt>
                <c:pt idx="38">
                  <c:v>1317.47</c:v>
                </c:pt>
                <c:pt idx="39">
                  <c:v>1271.18</c:v>
                </c:pt>
                <c:pt idx="40">
                  <c:v>1302.25</c:v>
                </c:pt>
                <c:pt idx="41">
                  <c:v>1220.92</c:v>
                </c:pt>
                <c:pt idx="42">
                  <c:v>1218.1400000000001</c:v>
                </c:pt>
                <c:pt idx="43">
                  <c:v>1193.81</c:v>
                </c:pt>
                <c:pt idx="44">
                  <c:v>1123.07</c:v>
                </c:pt>
                <c:pt idx="45">
                  <c:v>1203.01</c:v>
                </c:pt>
                <c:pt idx="46">
                  <c:v>1163.4000000000001</c:v>
                </c:pt>
                <c:pt idx="47">
                  <c:v>1171.8</c:v>
                </c:pt>
                <c:pt idx="48">
                  <c:v>1090.92</c:v>
                </c:pt>
                <c:pt idx="49">
                  <c:v>1103.32</c:v>
                </c:pt>
                <c:pt idx="50">
                  <c:v>1085.42</c:v>
                </c:pt>
                <c:pt idx="51">
                  <c:v>997.27</c:v>
                </c:pt>
                <c:pt idx="52">
                  <c:v>1004.05</c:v>
                </c:pt>
                <c:pt idx="53">
                  <c:v>966.1</c:v>
                </c:pt>
                <c:pt idx="54">
                  <c:v>983.2</c:v>
                </c:pt>
                <c:pt idx="55">
                  <c:v>945.09</c:v>
                </c:pt>
                <c:pt idx="56">
                  <c:v>852.18</c:v>
                </c:pt>
                <c:pt idx="57">
                  <c:v>947.83</c:v>
                </c:pt>
                <c:pt idx="58">
                  <c:v>922.83</c:v>
                </c:pt>
                <c:pt idx="59">
                  <c:v>934.63</c:v>
                </c:pt>
                <c:pt idx="60">
                  <c:v>882.84</c:v>
                </c:pt>
                <c:pt idx="61">
                  <c:v>910.47</c:v>
                </c:pt>
                <c:pt idx="62">
                  <c:v>797.41</c:v>
                </c:pt>
                <c:pt idx="63">
                  <c:v>604.14</c:v>
                </c:pt>
                <c:pt idx="64">
                  <c:v>615.83000000000004</c:v>
                </c:pt>
                <c:pt idx="65">
                  <c:v>587.91</c:v>
                </c:pt>
                <c:pt idx="66">
                  <c:v>602.52</c:v>
                </c:pt>
                <c:pt idx="67">
                  <c:v>599.63</c:v>
                </c:pt>
                <c:pt idx="68">
                  <c:v>539.9</c:v>
                </c:pt>
                <c:pt idx="69">
                  <c:v>588.38</c:v>
                </c:pt>
                <c:pt idx="70">
                  <c:v>559.70000000000005</c:v>
                </c:pt>
                <c:pt idx="71">
                  <c:v>574.19000000000005</c:v>
                </c:pt>
                <c:pt idx="72">
                  <c:v>550.26</c:v>
                </c:pt>
                <c:pt idx="73">
                  <c:v>570.39</c:v>
                </c:pt>
                <c:pt idx="74">
                  <c:v>586.26</c:v>
                </c:pt>
                <c:pt idx="75">
                  <c:v>571.22</c:v>
                </c:pt>
                <c:pt idx="76">
                  <c:v>581.05999999999995</c:v>
                </c:pt>
                <c:pt idx="77">
                  <c:v>538.11</c:v>
                </c:pt>
                <c:pt idx="78">
                  <c:v>567.04999999999995</c:v>
                </c:pt>
                <c:pt idx="79">
                  <c:v>570.63</c:v>
                </c:pt>
                <c:pt idx="80">
                  <c:v>508.33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F-475C-AE58-D0CC5614F7CE}"/>
            </c:ext>
          </c:extLst>
        </c:ser>
        <c:ser>
          <c:idx val="1"/>
          <c:order val="1"/>
          <c:tx>
            <c:strRef>
              <c:f>'Mortgage - example'!$C$26</c:f>
              <c:strCache>
                <c:ptCount val="1"/>
                <c:pt idx="0">
                  <c:v>Extra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cat>
            <c:numRef>
              <c:f>'Mortgage - example'!$A$31:$A$111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'Mortgage - example'!$C$31:$C$113</c:f>
              <c:numCache>
                <c:formatCode>"$"#,##0.00_);[Red]\("$"#,##0.00\)</c:formatCode>
                <c:ptCount val="83"/>
                <c:pt idx="0">
                  <c:v>650</c:v>
                </c:pt>
                <c:pt idx="1">
                  <c:v>1050</c:v>
                </c:pt>
                <c:pt idx="2">
                  <c:v>259.68</c:v>
                </c:pt>
                <c:pt idx="3">
                  <c:v>543.15</c:v>
                </c:pt>
                <c:pt idx="4">
                  <c:v>192</c:v>
                </c:pt>
                <c:pt idx="5">
                  <c:v>220</c:v>
                </c:pt>
                <c:pt idx="6">
                  <c:v>634.77</c:v>
                </c:pt>
                <c:pt idx="7">
                  <c:v>179.15</c:v>
                </c:pt>
                <c:pt idx="8">
                  <c:v>407.79</c:v>
                </c:pt>
                <c:pt idx="9">
                  <c:v>700</c:v>
                </c:pt>
                <c:pt idx="10">
                  <c:v>400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300</c:v>
                </c:pt>
                <c:pt idx="15">
                  <c:v>920.91</c:v>
                </c:pt>
                <c:pt idx="16">
                  <c:v>-1550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150</c:v>
                </c:pt>
                <c:pt idx="23">
                  <c:v>250</c:v>
                </c:pt>
                <c:pt idx="24">
                  <c:v>300</c:v>
                </c:pt>
                <c:pt idx="25">
                  <c:v>350</c:v>
                </c:pt>
                <c:pt idx="26">
                  <c:v>300</c:v>
                </c:pt>
                <c:pt idx="27">
                  <c:v>400</c:v>
                </c:pt>
                <c:pt idx="28">
                  <c:v>600</c:v>
                </c:pt>
                <c:pt idx="29">
                  <c:v>3000</c:v>
                </c:pt>
                <c:pt idx="30">
                  <c:v>500</c:v>
                </c:pt>
                <c:pt idx="31">
                  <c:v>2166.9899999999998</c:v>
                </c:pt>
                <c:pt idx="32">
                  <c:v>543</c:v>
                </c:pt>
                <c:pt idx="33">
                  <c:v>1750</c:v>
                </c:pt>
                <c:pt idx="34">
                  <c:v>920</c:v>
                </c:pt>
                <c:pt idx="35">
                  <c:v>1506</c:v>
                </c:pt>
                <c:pt idx="36">
                  <c:v>1550</c:v>
                </c:pt>
                <c:pt idx="37">
                  <c:v>100</c:v>
                </c:pt>
                <c:pt idx="38">
                  <c:v>160</c:v>
                </c:pt>
                <c:pt idx="39">
                  <c:v>1370</c:v>
                </c:pt>
                <c:pt idx="40">
                  <c:v>1270</c:v>
                </c:pt>
                <c:pt idx="41">
                  <c:v>184</c:v>
                </c:pt>
                <c:pt idx="42">
                  <c:v>485</c:v>
                </c:pt>
                <c:pt idx="43">
                  <c:v>754.15</c:v>
                </c:pt>
                <c:pt idx="44">
                  <c:v>469.30999999999995</c:v>
                </c:pt>
                <c:pt idx="45">
                  <c:v>150</c:v>
                </c:pt>
                <c:pt idx="46">
                  <c:v>-3750</c:v>
                </c:pt>
                <c:pt idx="47">
                  <c:v>2697.5</c:v>
                </c:pt>
                <c:pt idx="48">
                  <c:v>800.5</c:v>
                </c:pt>
                <c:pt idx="49">
                  <c:v>1201</c:v>
                </c:pt>
                <c:pt idx="50">
                  <c:v>6650</c:v>
                </c:pt>
                <c:pt idx="51">
                  <c:v>7697.3</c:v>
                </c:pt>
                <c:pt idx="52">
                  <c:v>-4450</c:v>
                </c:pt>
                <c:pt idx="53">
                  <c:v>-350</c:v>
                </c:pt>
                <c:pt idx="54">
                  <c:v>1254.1500000000001</c:v>
                </c:pt>
                <c:pt idx="55">
                  <c:v>-418.75</c:v>
                </c:pt>
                <c:pt idx="56">
                  <c:v>301</c:v>
                </c:pt>
                <c:pt idx="57">
                  <c:v>-2632.85</c:v>
                </c:pt>
                <c:pt idx="58">
                  <c:v>-1918.75</c:v>
                </c:pt>
                <c:pt idx="59">
                  <c:v>-249</c:v>
                </c:pt>
                <c:pt idx="60">
                  <c:v>-250</c:v>
                </c:pt>
                <c:pt idx="61">
                  <c:v>603.52</c:v>
                </c:pt>
                <c:pt idx="62">
                  <c:v>-824.5</c:v>
                </c:pt>
                <c:pt idx="63">
                  <c:v>2264.1999999999998</c:v>
                </c:pt>
                <c:pt idx="64">
                  <c:v>1012.38</c:v>
                </c:pt>
                <c:pt idx="65">
                  <c:v>1160.31</c:v>
                </c:pt>
                <c:pt idx="66">
                  <c:v>540.31999999999994</c:v>
                </c:pt>
                <c:pt idx="67">
                  <c:v>-640</c:v>
                </c:pt>
                <c:pt idx="68">
                  <c:v>786.6</c:v>
                </c:pt>
                <c:pt idx="69">
                  <c:v>1960.74</c:v>
                </c:pt>
                <c:pt idx="70">
                  <c:v>0</c:v>
                </c:pt>
                <c:pt idx="71">
                  <c:v>563.79999999999995</c:v>
                </c:pt>
                <c:pt idx="72">
                  <c:v>100</c:v>
                </c:pt>
                <c:pt idx="73">
                  <c:v>-5000</c:v>
                </c:pt>
                <c:pt idx="74">
                  <c:v>-1359</c:v>
                </c:pt>
                <c:pt idx="75">
                  <c:v>1167.7</c:v>
                </c:pt>
                <c:pt idx="76">
                  <c:v>10149.31</c:v>
                </c:pt>
                <c:pt idx="77">
                  <c:v>-6963.5500000000011</c:v>
                </c:pt>
                <c:pt idx="78">
                  <c:v>254.79999999999995</c:v>
                </c:pt>
                <c:pt idx="79">
                  <c:v>-3024.73</c:v>
                </c:pt>
                <c:pt idx="80">
                  <c:v>700</c:v>
                </c:pt>
                <c:pt idx="81">
                  <c:v>-3500</c:v>
                </c:pt>
                <c:pt idx="82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0F-475C-AE58-D0CC5614F7CE}"/>
            </c:ext>
          </c:extLst>
        </c:ser>
        <c:ser>
          <c:idx val="2"/>
          <c:order val="2"/>
          <c:tx>
            <c:strRef>
              <c:f>'Mortgage - example'!$D$26</c:f>
              <c:strCache>
                <c:ptCount val="1"/>
                <c:pt idx="0">
                  <c:v>Regular</c:v>
                </c:pt>
              </c:strCache>
            </c:strRef>
          </c:tx>
          <c:spPr>
            <a:ln w="25400">
              <a:solidFill>
                <a:srgbClr val="99CC00"/>
              </a:solidFill>
              <a:prstDash val="solid"/>
            </a:ln>
          </c:spPr>
          <c:marker>
            <c:symbol val="none"/>
          </c:marker>
          <c:cat>
            <c:numRef>
              <c:f>'Mortgage - example'!$A$31:$A$111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'Mortgage - example'!$D$31:$D$111</c:f>
              <c:numCache>
                <c:formatCode>"$"#,##0.00_);[Red]\("$"#,##0.00\)</c:formatCode>
                <c:ptCount val="81"/>
                <c:pt idx="0">
                  <c:v>0</c:v>
                </c:pt>
                <c:pt idx="1">
                  <c:v>1966.82</c:v>
                </c:pt>
                <c:pt idx="2">
                  <c:v>1966.82</c:v>
                </c:pt>
                <c:pt idx="3">
                  <c:v>1993.52</c:v>
                </c:pt>
                <c:pt idx="4">
                  <c:v>1949</c:v>
                </c:pt>
                <c:pt idx="5">
                  <c:v>1684</c:v>
                </c:pt>
                <c:pt idx="6">
                  <c:v>1520.9</c:v>
                </c:pt>
                <c:pt idx="7">
                  <c:v>1520.9</c:v>
                </c:pt>
                <c:pt idx="8">
                  <c:v>1520.9</c:v>
                </c:pt>
                <c:pt idx="9">
                  <c:v>1366.11</c:v>
                </c:pt>
                <c:pt idx="10">
                  <c:v>1366.11</c:v>
                </c:pt>
                <c:pt idx="11">
                  <c:v>1351.01</c:v>
                </c:pt>
                <c:pt idx="12">
                  <c:v>1351.01</c:v>
                </c:pt>
                <c:pt idx="13">
                  <c:v>1351.01</c:v>
                </c:pt>
                <c:pt idx="14">
                  <c:v>1351.01</c:v>
                </c:pt>
                <c:pt idx="15">
                  <c:v>1351.01</c:v>
                </c:pt>
                <c:pt idx="16">
                  <c:v>1351.01</c:v>
                </c:pt>
                <c:pt idx="17">
                  <c:v>1351.01</c:v>
                </c:pt>
                <c:pt idx="18">
                  <c:v>1387.63</c:v>
                </c:pt>
                <c:pt idx="19">
                  <c:v>1478.86</c:v>
                </c:pt>
                <c:pt idx="20">
                  <c:v>1478.86</c:v>
                </c:pt>
                <c:pt idx="21">
                  <c:v>1478.86</c:v>
                </c:pt>
                <c:pt idx="22">
                  <c:v>1516.78</c:v>
                </c:pt>
                <c:pt idx="23">
                  <c:v>1516.78</c:v>
                </c:pt>
                <c:pt idx="24">
                  <c:v>1563.67</c:v>
                </c:pt>
                <c:pt idx="25">
                  <c:v>1602.83</c:v>
                </c:pt>
                <c:pt idx="26">
                  <c:v>1602.83</c:v>
                </c:pt>
                <c:pt idx="27">
                  <c:v>1602.83</c:v>
                </c:pt>
                <c:pt idx="28">
                  <c:v>1602.83</c:v>
                </c:pt>
                <c:pt idx="29">
                  <c:v>1602.83</c:v>
                </c:pt>
                <c:pt idx="30">
                  <c:v>1661.69</c:v>
                </c:pt>
                <c:pt idx="31">
                  <c:v>1661.69</c:v>
                </c:pt>
                <c:pt idx="32">
                  <c:v>1661.69</c:v>
                </c:pt>
                <c:pt idx="33">
                  <c:v>1661.69</c:v>
                </c:pt>
                <c:pt idx="34">
                  <c:v>1661.69</c:v>
                </c:pt>
                <c:pt idx="35">
                  <c:v>1661.69</c:v>
                </c:pt>
                <c:pt idx="36">
                  <c:v>1661.69</c:v>
                </c:pt>
                <c:pt idx="37">
                  <c:v>1661.69</c:v>
                </c:pt>
                <c:pt idx="38">
                  <c:v>1661.69</c:v>
                </c:pt>
                <c:pt idx="39">
                  <c:v>1661.69</c:v>
                </c:pt>
                <c:pt idx="40">
                  <c:v>1661.69</c:v>
                </c:pt>
                <c:pt idx="41">
                  <c:v>1615.11</c:v>
                </c:pt>
                <c:pt idx="42">
                  <c:v>1576.25</c:v>
                </c:pt>
                <c:pt idx="43">
                  <c:v>1576.25</c:v>
                </c:pt>
                <c:pt idx="44">
                  <c:v>1576.25</c:v>
                </c:pt>
                <c:pt idx="45">
                  <c:v>1576.25</c:v>
                </c:pt>
                <c:pt idx="46">
                  <c:v>1590.01</c:v>
                </c:pt>
                <c:pt idx="47">
                  <c:v>1542.34</c:v>
                </c:pt>
                <c:pt idx="48">
                  <c:v>1512.45</c:v>
                </c:pt>
                <c:pt idx="49">
                  <c:v>1512.45</c:v>
                </c:pt>
                <c:pt idx="50">
                  <c:v>1512.45</c:v>
                </c:pt>
                <c:pt idx="51">
                  <c:v>1512.45</c:v>
                </c:pt>
                <c:pt idx="52">
                  <c:v>1472.87</c:v>
                </c:pt>
                <c:pt idx="53">
                  <c:v>1472.87</c:v>
                </c:pt>
                <c:pt idx="54">
                  <c:v>1472.87</c:v>
                </c:pt>
                <c:pt idx="55">
                  <c:v>1435.41</c:v>
                </c:pt>
                <c:pt idx="56">
                  <c:v>1435.41</c:v>
                </c:pt>
                <c:pt idx="57">
                  <c:v>1435.41</c:v>
                </c:pt>
                <c:pt idx="58">
                  <c:v>1435.41</c:v>
                </c:pt>
                <c:pt idx="59">
                  <c:v>1395.79</c:v>
                </c:pt>
                <c:pt idx="60">
                  <c:v>1395.76</c:v>
                </c:pt>
                <c:pt idx="61">
                  <c:v>1395.79</c:v>
                </c:pt>
                <c:pt idx="62">
                  <c:v>1395.79</c:v>
                </c:pt>
                <c:pt idx="63">
                  <c:v>1359.73</c:v>
                </c:pt>
                <c:pt idx="64">
                  <c:v>1359.73</c:v>
                </c:pt>
                <c:pt idx="65">
                  <c:v>1359.73</c:v>
                </c:pt>
                <c:pt idx="66">
                  <c:v>1359.73</c:v>
                </c:pt>
                <c:pt idx="67">
                  <c:v>1359.73</c:v>
                </c:pt>
                <c:pt idx="68">
                  <c:v>1359.73</c:v>
                </c:pt>
                <c:pt idx="69">
                  <c:v>1359.73</c:v>
                </c:pt>
                <c:pt idx="70">
                  <c:v>1359.73</c:v>
                </c:pt>
                <c:pt idx="71">
                  <c:v>1359.73</c:v>
                </c:pt>
                <c:pt idx="72">
                  <c:v>1359.73</c:v>
                </c:pt>
                <c:pt idx="73">
                  <c:v>1359.73</c:v>
                </c:pt>
                <c:pt idx="74">
                  <c:v>1359.73</c:v>
                </c:pt>
                <c:pt idx="75">
                  <c:v>1359.73</c:v>
                </c:pt>
                <c:pt idx="76">
                  <c:v>1359.73</c:v>
                </c:pt>
                <c:pt idx="77">
                  <c:v>1359.73</c:v>
                </c:pt>
                <c:pt idx="78">
                  <c:v>1359.73</c:v>
                </c:pt>
                <c:pt idx="79">
                  <c:v>1359.73</c:v>
                </c:pt>
                <c:pt idx="80">
                  <c:v>1359.73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0F-475C-AE58-D0CC5614F7CE}"/>
            </c:ext>
          </c:extLst>
        </c:ser>
        <c:ser>
          <c:idx val="3"/>
          <c:order val="3"/>
          <c:tx>
            <c:strRef>
              <c:f>'Mortgage - example'!$E$26</c:f>
              <c:strCache>
                <c:ptCount val="1"/>
                <c:pt idx="0">
                  <c:v>Rate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'Mortgage - example'!$A$31:$A$111</c:f>
              <c:numCache>
                <c:formatCode>mmm\-yy</c:formatCode>
                <c:ptCount val="81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</c:numCache>
            </c:numRef>
          </c:cat>
          <c:val>
            <c:numRef>
              <c:f>'Mortgage - example'!$E$31:$E$111</c:f>
              <c:numCache>
                <c:formatCode>0.000%</c:formatCode>
                <c:ptCount val="81"/>
                <c:pt idx="0">
                  <c:v>8.8400000000000006E-2</c:v>
                </c:pt>
                <c:pt idx="1">
                  <c:v>8.9899999999999994E-2</c:v>
                </c:pt>
                <c:pt idx="2">
                  <c:v>8.9899999999999994E-2</c:v>
                </c:pt>
                <c:pt idx="3">
                  <c:v>8.7400000000000005E-2</c:v>
                </c:pt>
                <c:pt idx="4">
                  <c:v>7.9399999999999998E-2</c:v>
                </c:pt>
                <c:pt idx="5">
                  <c:v>7.1900000000000006E-2</c:v>
                </c:pt>
                <c:pt idx="6">
                  <c:v>6.1899999999999997E-2</c:v>
                </c:pt>
                <c:pt idx="7">
                  <c:v>6.1899999999999997E-2</c:v>
                </c:pt>
                <c:pt idx="8">
                  <c:v>5.1900000000000002E-2</c:v>
                </c:pt>
                <c:pt idx="9">
                  <c:v>5.1900000000000002E-2</c:v>
                </c:pt>
                <c:pt idx="10">
                  <c:v>5.0900000000000001E-2</c:v>
                </c:pt>
                <c:pt idx="11">
                  <c:v>5.0900000000000001E-2</c:v>
                </c:pt>
                <c:pt idx="12">
                  <c:v>5.0900000000000001E-2</c:v>
                </c:pt>
                <c:pt idx="13">
                  <c:v>5.0900000000000001E-2</c:v>
                </c:pt>
                <c:pt idx="14">
                  <c:v>5.0900000000000001E-2</c:v>
                </c:pt>
                <c:pt idx="15">
                  <c:v>5.0900000000000001E-2</c:v>
                </c:pt>
                <c:pt idx="16">
                  <c:v>5.3400000000000003E-2</c:v>
                </c:pt>
                <c:pt idx="17">
                  <c:v>5.5899999999999998E-2</c:v>
                </c:pt>
                <c:pt idx="18">
                  <c:v>5.9400000000000001E-2</c:v>
                </c:pt>
                <c:pt idx="19">
                  <c:v>5.9400000000000001E-2</c:v>
                </c:pt>
                <c:pt idx="20">
                  <c:v>5.9400000000000001E-2</c:v>
                </c:pt>
                <c:pt idx="21">
                  <c:v>6.1899999999999997E-2</c:v>
                </c:pt>
                <c:pt idx="22">
                  <c:v>6.4899999999999999E-2</c:v>
                </c:pt>
                <c:pt idx="23">
                  <c:v>6.7400000000000002E-2</c:v>
                </c:pt>
                <c:pt idx="24">
                  <c:v>6.7400000000000002E-2</c:v>
                </c:pt>
                <c:pt idx="25">
                  <c:v>6.7400000000000002E-2</c:v>
                </c:pt>
                <c:pt idx="26">
                  <c:v>6.7400000000000002E-2</c:v>
                </c:pt>
                <c:pt idx="27">
                  <c:v>6.7400000000000002E-2</c:v>
                </c:pt>
                <c:pt idx="28">
                  <c:v>6.7400000000000002E-2</c:v>
                </c:pt>
                <c:pt idx="29">
                  <c:v>7.1199999999999999E-2</c:v>
                </c:pt>
                <c:pt idx="30">
                  <c:v>7.1199999999999999E-2</c:v>
                </c:pt>
                <c:pt idx="31">
                  <c:v>7.1199999999999999E-2</c:v>
                </c:pt>
                <c:pt idx="32">
                  <c:v>7.1199999999999999E-2</c:v>
                </c:pt>
                <c:pt idx="33">
                  <c:v>7.1199999999999999E-2</c:v>
                </c:pt>
                <c:pt idx="34">
                  <c:v>7.1199999999999999E-2</c:v>
                </c:pt>
                <c:pt idx="35">
                  <c:v>7.1199999999999999E-2</c:v>
                </c:pt>
                <c:pt idx="36">
                  <c:v>7.1199999999999999E-2</c:v>
                </c:pt>
                <c:pt idx="37">
                  <c:v>7.1199999999999999E-2</c:v>
                </c:pt>
                <c:pt idx="38">
                  <c:v>7.1199999999999999E-2</c:v>
                </c:pt>
                <c:pt idx="39">
                  <c:v>7.1199999999999999E-2</c:v>
                </c:pt>
                <c:pt idx="40">
                  <c:v>7.1199999999999999E-2</c:v>
                </c:pt>
                <c:pt idx="41">
                  <c:v>6.8699999999999997E-2</c:v>
                </c:pt>
                <c:pt idx="42">
                  <c:v>6.6199999999999995E-2</c:v>
                </c:pt>
                <c:pt idx="43">
                  <c:v>6.6199999999999995E-2</c:v>
                </c:pt>
                <c:pt idx="44">
                  <c:v>6.7199999999999996E-2</c:v>
                </c:pt>
                <c:pt idx="45">
                  <c:v>6.7199999999999996E-2</c:v>
                </c:pt>
                <c:pt idx="46">
                  <c:v>6.7199999999999996E-2</c:v>
                </c:pt>
                <c:pt idx="47">
                  <c:v>6.4199999999999993E-2</c:v>
                </c:pt>
                <c:pt idx="48">
                  <c:v>6.2199999999999998E-2</c:v>
                </c:pt>
                <c:pt idx="49">
                  <c:v>6.2199999999999998E-2</c:v>
                </c:pt>
                <c:pt idx="50">
                  <c:v>6.2199999999999998E-2</c:v>
                </c:pt>
                <c:pt idx="51">
                  <c:v>6.2199999999999998E-2</c:v>
                </c:pt>
                <c:pt idx="52">
                  <c:v>5.9700000000000003E-2</c:v>
                </c:pt>
                <c:pt idx="53">
                  <c:v>5.9700000000000003E-2</c:v>
                </c:pt>
                <c:pt idx="54">
                  <c:v>5.7200000000000001E-2</c:v>
                </c:pt>
                <c:pt idx="55">
                  <c:v>5.7200000000000001E-2</c:v>
                </c:pt>
                <c:pt idx="56">
                  <c:v>5.7200000000000001E-2</c:v>
                </c:pt>
                <c:pt idx="57">
                  <c:v>5.7200000000000001E-2</c:v>
                </c:pt>
                <c:pt idx="58">
                  <c:v>5.7200000000000001E-2</c:v>
                </c:pt>
                <c:pt idx="59">
                  <c:v>5.4699999999999999E-2</c:v>
                </c:pt>
                <c:pt idx="60">
                  <c:v>5.4699999999999999E-2</c:v>
                </c:pt>
                <c:pt idx="61">
                  <c:v>5.4699999999999999E-2</c:v>
                </c:pt>
                <c:pt idx="62">
                  <c:v>5.4699999999999999E-2</c:v>
                </c:pt>
                <c:pt idx="63">
                  <c:v>5.2200000000000003E-2</c:v>
                </c:pt>
                <c:pt idx="64">
                  <c:v>5.2200000000000003E-2</c:v>
                </c:pt>
                <c:pt idx="65">
                  <c:v>5.2200000000000003E-2</c:v>
                </c:pt>
                <c:pt idx="66">
                  <c:v>5.2200000000000003E-2</c:v>
                </c:pt>
                <c:pt idx="67">
                  <c:v>5.2200000000000003E-2</c:v>
                </c:pt>
                <c:pt idx="68">
                  <c:v>5.2200000000000003E-2</c:v>
                </c:pt>
                <c:pt idx="69">
                  <c:v>5.2200000000000003E-2</c:v>
                </c:pt>
                <c:pt idx="70">
                  <c:v>5.2200000000000003E-2</c:v>
                </c:pt>
                <c:pt idx="71">
                  <c:v>5.2200000000000003E-2</c:v>
                </c:pt>
                <c:pt idx="72">
                  <c:v>5.2200000000000003E-2</c:v>
                </c:pt>
                <c:pt idx="73">
                  <c:v>5.2200000000000003E-2</c:v>
                </c:pt>
                <c:pt idx="74">
                  <c:v>5.2200000000000003E-2</c:v>
                </c:pt>
                <c:pt idx="75">
                  <c:v>5.2200000000000003E-2</c:v>
                </c:pt>
                <c:pt idx="76">
                  <c:v>5.2200000000000003E-2</c:v>
                </c:pt>
                <c:pt idx="77">
                  <c:v>5.2200000000000003E-2</c:v>
                </c:pt>
                <c:pt idx="78">
                  <c:v>5.2200000000000003E-2</c:v>
                </c:pt>
                <c:pt idx="79">
                  <c:v>5.2200000000000003E-2</c:v>
                </c:pt>
                <c:pt idx="80">
                  <c:v>5.2200000000000003E-2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0F-475C-AE58-D0CC5614F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44488"/>
        <c:axId val="481251544"/>
      </c:lineChart>
      <c:dateAx>
        <c:axId val="4812444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51544"/>
        <c:crossesAt val="0"/>
        <c:auto val="1"/>
        <c:lblOffset val="100"/>
        <c:baseTimeUnit val="months"/>
      </c:dateAx>
      <c:valAx>
        <c:axId val="481251544"/>
        <c:scaling>
          <c:orientation val="minMax"/>
          <c:max val="8000"/>
          <c:min val="-80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&quot;$&quot;#,##0.00_);[Red]\(&quot;$&quot;#,##0.0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444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0699" r="0.75000000000000699" t="1" header="0.51180555555555562" footer="0.51180555555555562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84631161001691"/>
          <c:y val="3.5874439461883414E-2"/>
          <c:w val="0.77279634481902915"/>
          <c:h val="0.74887892376681664"/>
        </c:manualLayout>
      </c:layout>
      <c:lineChart>
        <c:grouping val="standard"/>
        <c:varyColors val="0"/>
        <c:ser>
          <c:idx val="0"/>
          <c:order val="0"/>
          <c:tx>
            <c:strRef>
              <c:f>'Mortgage - example'!$F$26</c:f>
              <c:strCache>
                <c:ptCount val="1"/>
                <c:pt idx="0">
                  <c:v>Balance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'Mortgage - example'!$A$31:$A$390</c:f>
              <c:numCache>
                <c:formatCode>mmm\-yy</c:formatCode>
                <c:ptCount val="360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  <c:pt idx="81">
                  <c:v>42064</c:v>
                </c:pt>
                <c:pt idx="82">
                  <c:v>42095</c:v>
                </c:pt>
                <c:pt idx="83">
                  <c:v>42125</c:v>
                </c:pt>
                <c:pt idx="84">
                  <c:v>42156</c:v>
                </c:pt>
                <c:pt idx="85">
                  <c:v>42186</c:v>
                </c:pt>
                <c:pt idx="86">
                  <c:v>42217</c:v>
                </c:pt>
                <c:pt idx="87">
                  <c:v>42248</c:v>
                </c:pt>
                <c:pt idx="88">
                  <c:v>42278</c:v>
                </c:pt>
                <c:pt idx="89">
                  <c:v>42309</c:v>
                </c:pt>
                <c:pt idx="90">
                  <c:v>42339</c:v>
                </c:pt>
                <c:pt idx="91">
                  <c:v>42370</c:v>
                </c:pt>
                <c:pt idx="92">
                  <c:v>42401</c:v>
                </c:pt>
                <c:pt idx="93">
                  <c:v>42430</c:v>
                </c:pt>
                <c:pt idx="94">
                  <c:v>42461</c:v>
                </c:pt>
                <c:pt idx="95">
                  <c:v>42491</c:v>
                </c:pt>
                <c:pt idx="96">
                  <c:v>42522</c:v>
                </c:pt>
                <c:pt idx="97">
                  <c:v>42552</c:v>
                </c:pt>
                <c:pt idx="98">
                  <c:v>42583</c:v>
                </c:pt>
                <c:pt idx="99">
                  <c:v>42614</c:v>
                </c:pt>
                <c:pt idx="100">
                  <c:v>42644</c:v>
                </c:pt>
                <c:pt idx="101">
                  <c:v>42675</c:v>
                </c:pt>
                <c:pt idx="102">
                  <c:v>42705</c:v>
                </c:pt>
                <c:pt idx="103">
                  <c:v>42736</c:v>
                </c:pt>
                <c:pt idx="104">
                  <c:v>42767</c:v>
                </c:pt>
                <c:pt idx="105">
                  <c:v>42795</c:v>
                </c:pt>
                <c:pt idx="106">
                  <c:v>42826</c:v>
                </c:pt>
                <c:pt idx="107">
                  <c:v>42856</c:v>
                </c:pt>
                <c:pt idx="108">
                  <c:v>42887</c:v>
                </c:pt>
                <c:pt idx="109">
                  <c:v>42917</c:v>
                </c:pt>
                <c:pt idx="110">
                  <c:v>42948</c:v>
                </c:pt>
                <c:pt idx="111">
                  <c:v>42979</c:v>
                </c:pt>
                <c:pt idx="112">
                  <c:v>43009</c:v>
                </c:pt>
                <c:pt idx="113">
                  <c:v>43040</c:v>
                </c:pt>
                <c:pt idx="114">
                  <c:v>43070</c:v>
                </c:pt>
                <c:pt idx="115">
                  <c:v>43101</c:v>
                </c:pt>
                <c:pt idx="116">
                  <c:v>43132</c:v>
                </c:pt>
                <c:pt idx="117">
                  <c:v>43160</c:v>
                </c:pt>
                <c:pt idx="118">
                  <c:v>43191</c:v>
                </c:pt>
                <c:pt idx="119">
                  <c:v>43221</c:v>
                </c:pt>
                <c:pt idx="120">
                  <c:v>43252</c:v>
                </c:pt>
                <c:pt idx="121">
                  <c:v>43282</c:v>
                </c:pt>
                <c:pt idx="122">
                  <c:v>43313</c:v>
                </c:pt>
                <c:pt idx="123">
                  <c:v>43344</c:v>
                </c:pt>
                <c:pt idx="124">
                  <c:v>43374</c:v>
                </c:pt>
                <c:pt idx="125">
                  <c:v>43405</c:v>
                </c:pt>
                <c:pt idx="126">
                  <c:v>43435</c:v>
                </c:pt>
                <c:pt idx="127">
                  <c:v>43466</c:v>
                </c:pt>
                <c:pt idx="128">
                  <c:v>43497</c:v>
                </c:pt>
                <c:pt idx="129">
                  <c:v>43525</c:v>
                </c:pt>
                <c:pt idx="130">
                  <c:v>43556</c:v>
                </c:pt>
                <c:pt idx="131">
                  <c:v>43586</c:v>
                </c:pt>
                <c:pt idx="132">
                  <c:v>43617</c:v>
                </c:pt>
                <c:pt idx="133">
                  <c:v>43647</c:v>
                </c:pt>
                <c:pt idx="134">
                  <c:v>43678</c:v>
                </c:pt>
                <c:pt idx="135">
                  <c:v>43709</c:v>
                </c:pt>
                <c:pt idx="136">
                  <c:v>43739</c:v>
                </c:pt>
                <c:pt idx="137">
                  <c:v>43770</c:v>
                </c:pt>
                <c:pt idx="138">
                  <c:v>43800</c:v>
                </c:pt>
                <c:pt idx="139">
                  <c:v>43831</c:v>
                </c:pt>
                <c:pt idx="140">
                  <c:v>43862</c:v>
                </c:pt>
                <c:pt idx="141">
                  <c:v>43891</c:v>
                </c:pt>
                <c:pt idx="142">
                  <c:v>43922</c:v>
                </c:pt>
                <c:pt idx="143">
                  <c:v>43952</c:v>
                </c:pt>
                <c:pt idx="144">
                  <c:v>43983</c:v>
                </c:pt>
                <c:pt idx="145">
                  <c:v>44013</c:v>
                </c:pt>
                <c:pt idx="146">
                  <c:v>44044</c:v>
                </c:pt>
                <c:pt idx="147">
                  <c:v>44075</c:v>
                </c:pt>
                <c:pt idx="148">
                  <c:v>44105</c:v>
                </c:pt>
                <c:pt idx="149">
                  <c:v>44136</c:v>
                </c:pt>
                <c:pt idx="150">
                  <c:v>44166</c:v>
                </c:pt>
                <c:pt idx="151">
                  <c:v>44197</c:v>
                </c:pt>
                <c:pt idx="152">
                  <c:v>44228</c:v>
                </c:pt>
                <c:pt idx="153">
                  <c:v>44256</c:v>
                </c:pt>
                <c:pt idx="154">
                  <c:v>44287</c:v>
                </c:pt>
                <c:pt idx="155">
                  <c:v>44317</c:v>
                </c:pt>
                <c:pt idx="156">
                  <c:v>44348</c:v>
                </c:pt>
                <c:pt idx="157">
                  <c:v>44378</c:v>
                </c:pt>
                <c:pt idx="158">
                  <c:v>44409</c:v>
                </c:pt>
                <c:pt idx="159">
                  <c:v>44440</c:v>
                </c:pt>
                <c:pt idx="160">
                  <c:v>44470</c:v>
                </c:pt>
                <c:pt idx="161">
                  <c:v>44501</c:v>
                </c:pt>
                <c:pt idx="162">
                  <c:v>44531</c:v>
                </c:pt>
                <c:pt idx="163">
                  <c:v>44562</c:v>
                </c:pt>
                <c:pt idx="164">
                  <c:v>44593</c:v>
                </c:pt>
                <c:pt idx="165">
                  <c:v>44621</c:v>
                </c:pt>
                <c:pt idx="166">
                  <c:v>44652</c:v>
                </c:pt>
                <c:pt idx="167">
                  <c:v>44682</c:v>
                </c:pt>
                <c:pt idx="168">
                  <c:v>44713</c:v>
                </c:pt>
                <c:pt idx="169">
                  <c:v>44743</c:v>
                </c:pt>
                <c:pt idx="170">
                  <c:v>44774</c:v>
                </c:pt>
                <c:pt idx="171">
                  <c:v>44805</c:v>
                </c:pt>
                <c:pt idx="172">
                  <c:v>44835</c:v>
                </c:pt>
                <c:pt idx="173">
                  <c:v>44866</c:v>
                </c:pt>
                <c:pt idx="174">
                  <c:v>44896</c:v>
                </c:pt>
                <c:pt idx="175">
                  <c:v>44927</c:v>
                </c:pt>
                <c:pt idx="176">
                  <c:v>44958</c:v>
                </c:pt>
                <c:pt idx="177">
                  <c:v>44986</c:v>
                </c:pt>
                <c:pt idx="178">
                  <c:v>45017</c:v>
                </c:pt>
                <c:pt idx="179">
                  <c:v>45047</c:v>
                </c:pt>
                <c:pt idx="180">
                  <c:v>45078</c:v>
                </c:pt>
                <c:pt idx="181">
                  <c:v>45108</c:v>
                </c:pt>
                <c:pt idx="182">
                  <c:v>45139</c:v>
                </c:pt>
                <c:pt idx="183">
                  <c:v>45170</c:v>
                </c:pt>
                <c:pt idx="184">
                  <c:v>45200</c:v>
                </c:pt>
                <c:pt idx="185">
                  <c:v>45231</c:v>
                </c:pt>
                <c:pt idx="186">
                  <c:v>45261</c:v>
                </c:pt>
                <c:pt idx="187">
                  <c:v>45292</c:v>
                </c:pt>
                <c:pt idx="188">
                  <c:v>45323</c:v>
                </c:pt>
                <c:pt idx="189">
                  <c:v>45352</c:v>
                </c:pt>
                <c:pt idx="190">
                  <c:v>45383</c:v>
                </c:pt>
                <c:pt idx="191">
                  <c:v>45413</c:v>
                </c:pt>
                <c:pt idx="192">
                  <c:v>45444</c:v>
                </c:pt>
                <c:pt idx="193">
                  <c:v>45474</c:v>
                </c:pt>
                <c:pt idx="194">
                  <c:v>45505</c:v>
                </c:pt>
                <c:pt idx="195">
                  <c:v>45536</c:v>
                </c:pt>
                <c:pt idx="196">
                  <c:v>45566</c:v>
                </c:pt>
                <c:pt idx="197">
                  <c:v>45597</c:v>
                </c:pt>
                <c:pt idx="198">
                  <c:v>45627</c:v>
                </c:pt>
                <c:pt idx="199">
                  <c:v>45658</c:v>
                </c:pt>
                <c:pt idx="200">
                  <c:v>45689</c:v>
                </c:pt>
                <c:pt idx="201">
                  <c:v>45717</c:v>
                </c:pt>
                <c:pt idx="202">
                  <c:v>45748</c:v>
                </c:pt>
                <c:pt idx="203">
                  <c:v>45778</c:v>
                </c:pt>
                <c:pt idx="204">
                  <c:v>45809</c:v>
                </c:pt>
                <c:pt idx="205">
                  <c:v>45839</c:v>
                </c:pt>
                <c:pt idx="206">
                  <c:v>45870</c:v>
                </c:pt>
                <c:pt idx="207">
                  <c:v>45901</c:v>
                </c:pt>
                <c:pt idx="208">
                  <c:v>45931</c:v>
                </c:pt>
                <c:pt idx="209">
                  <c:v>45962</c:v>
                </c:pt>
                <c:pt idx="210">
                  <c:v>45992</c:v>
                </c:pt>
                <c:pt idx="211">
                  <c:v>46023</c:v>
                </c:pt>
                <c:pt idx="212">
                  <c:v>46054</c:v>
                </c:pt>
                <c:pt idx="213">
                  <c:v>46082</c:v>
                </c:pt>
                <c:pt idx="214">
                  <c:v>46113</c:v>
                </c:pt>
                <c:pt idx="215">
                  <c:v>46143</c:v>
                </c:pt>
                <c:pt idx="216">
                  <c:v>46174</c:v>
                </c:pt>
                <c:pt idx="217">
                  <c:v>46204</c:v>
                </c:pt>
                <c:pt idx="218">
                  <c:v>46235</c:v>
                </c:pt>
                <c:pt idx="219">
                  <c:v>46266</c:v>
                </c:pt>
                <c:pt idx="220">
                  <c:v>46296</c:v>
                </c:pt>
                <c:pt idx="221">
                  <c:v>46327</c:v>
                </c:pt>
                <c:pt idx="222">
                  <c:v>46357</c:v>
                </c:pt>
                <c:pt idx="223">
                  <c:v>46388</c:v>
                </c:pt>
                <c:pt idx="224">
                  <c:v>46419</c:v>
                </c:pt>
                <c:pt idx="225">
                  <c:v>46447</c:v>
                </c:pt>
                <c:pt idx="226">
                  <c:v>46478</c:v>
                </c:pt>
                <c:pt idx="227">
                  <c:v>46508</c:v>
                </c:pt>
                <c:pt idx="228">
                  <c:v>46539</c:v>
                </c:pt>
                <c:pt idx="229">
                  <c:v>46569</c:v>
                </c:pt>
                <c:pt idx="230">
                  <c:v>46600</c:v>
                </c:pt>
                <c:pt idx="231">
                  <c:v>46631</c:v>
                </c:pt>
                <c:pt idx="232">
                  <c:v>46661</c:v>
                </c:pt>
                <c:pt idx="233">
                  <c:v>46692</c:v>
                </c:pt>
                <c:pt idx="234">
                  <c:v>46722</c:v>
                </c:pt>
                <c:pt idx="235">
                  <c:v>46753</c:v>
                </c:pt>
                <c:pt idx="236">
                  <c:v>46784</c:v>
                </c:pt>
                <c:pt idx="237">
                  <c:v>46813</c:v>
                </c:pt>
                <c:pt idx="238">
                  <c:v>46844</c:v>
                </c:pt>
                <c:pt idx="239">
                  <c:v>46874</c:v>
                </c:pt>
                <c:pt idx="240">
                  <c:v>46905</c:v>
                </c:pt>
                <c:pt idx="241">
                  <c:v>46935</c:v>
                </c:pt>
                <c:pt idx="242">
                  <c:v>46966</c:v>
                </c:pt>
                <c:pt idx="243">
                  <c:v>46997</c:v>
                </c:pt>
                <c:pt idx="244">
                  <c:v>47027</c:v>
                </c:pt>
                <c:pt idx="245">
                  <c:v>47058</c:v>
                </c:pt>
                <c:pt idx="246">
                  <c:v>47088</c:v>
                </c:pt>
                <c:pt idx="247">
                  <c:v>47119</c:v>
                </c:pt>
                <c:pt idx="248">
                  <c:v>47150</c:v>
                </c:pt>
                <c:pt idx="249">
                  <c:v>47178</c:v>
                </c:pt>
                <c:pt idx="250">
                  <c:v>47209</c:v>
                </c:pt>
                <c:pt idx="251">
                  <c:v>47239</c:v>
                </c:pt>
                <c:pt idx="252">
                  <c:v>47270</c:v>
                </c:pt>
                <c:pt idx="253">
                  <c:v>47300</c:v>
                </c:pt>
                <c:pt idx="254">
                  <c:v>47331</c:v>
                </c:pt>
                <c:pt idx="255">
                  <c:v>47362</c:v>
                </c:pt>
                <c:pt idx="256">
                  <c:v>47392</c:v>
                </c:pt>
                <c:pt idx="257">
                  <c:v>47423</c:v>
                </c:pt>
                <c:pt idx="258">
                  <c:v>47453</c:v>
                </c:pt>
                <c:pt idx="259">
                  <c:v>47484</c:v>
                </c:pt>
                <c:pt idx="260">
                  <c:v>47515</c:v>
                </c:pt>
                <c:pt idx="261">
                  <c:v>47543</c:v>
                </c:pt>
                <c:pt idx="262">
                  <c:v>47574</c:v>
                </c:pt>
                <c:pt idx="263">
                  <c:v>47604</c:v>
                </c:pt>
                <c:pt idx="264">
                  <c:v>47635</c:v>
                </c:pt>
                <c:pt idx="265">
                  <c:v>47665</c:v>
                </c:pt>
                <c:pt idx="266">
                  <c:v>47696</c:v>
                </c:pt>
                <c:pt idx="267">
                  <c:v>47727</c:v>
                </c:pt>
                <c:pt idx="268">
                  <c:v>47757</c:v>
                </c:pt>
                <c:pt idx="269">
                  <c:v>47788</c:v>
                </c:pt>
                <c:pt idx="270">
                  <c:v>47818</c:v>
                </c:pt>
                <c:pt idx="271">
                  <c:v>47849</c:v>
                </c:pt>
                <c:pt idx="272">
                  <c:v>47880</c:v>
                </c:pt>
                <c:pt idx="273">
                  <c:v>47908</c:v>
                </c:pt>
                <c:pt idx="274">
                  <c:v>47939</c:v>
                </c:pt>
                <c:pt idx="275">
                  <c:v>47969</c:v>
                </c:pt>
                <c:pt idx="276">
                  <c:v>48000</c:v>
                </c:pt>
                <c:pt idx="277">
                  <c:v>48030</c:v>
                </c:pt>
                <c:pt idx="278">
                  <c:v>48061</c:v>
                </c:pt>
                <c:pt idx="279">
                  <c:v>48092</c:v>
                </c:pt>
                <c:pt idx="280">
                  <c:v>48122</c:v>
                </c:pt>
                <c:pt idx="281">
                  <c:v>48153</c:v>
                </c:pt>
                <c:pt idx="282">
                  <c:v>48183</c:v>
                </c:pt>
                <c:pt idx="283">
                  <c:v>48214</c:v>
                </c:pt>
                <c:pt idx="284">
                  <c:v>48245</c:v>
                </c:pt>
                <c:pt idx="285">
                  <c:v>48274</c:v>
                </c:pt>
                <c:pt idx="286">
                  <c:v>48305</c:v>
                </c:pt>
                <c:pt idx="287">
                  <c:v>48335</c:v>
                </c:pt>
                <c:pt idx="288">
                  <c:v>48366</c:v>
                </c:pt>
                <c:pt idx="289">
                  <c:v>48396</c:v>
                </c:pt>
                <c:pt idx="290">
                  <c:v>48427</c:v>
                </c:pt>
                <c:pt idx="291">
                  <c:v>48458</c:v>
                </c:pt>
                <c:pt idx="292">
                  <c:v>48488</c:v>
                </c:pt>
                <c:pt idx="293">
                  <c:v>48519</c:v>
                </c:pt>
                <c:pt idx="294">
                  <c:v>48549</c:v>
                </c:pt>
                <c:pt idx="295">
                  <c:v>48580</c:v>
                </c:pt>
                <c:pt idx="296">
                  <c:v>48611</c:v>
                </c:pt>
                <c:pt idx="297">
                  <c:v>48639</c:v>
                </c:pt>
                <c:pt idx="298">
                  <c:v>48670</c:v>
                </c:pt>
                <c:pt idx="299">
                  <c:v>48700</c:v>
                </c:pt>
                <c:pt idx="300">
                  <c:v>48731</c:v>
                </c:pt>
                <c:pt idx="301">
                  <c:v>48761</c:v>
                </c:pt>
                <c:pt idx="302">
                  <c:v>48792</c:v>
                </c:pt>
                <c:pt idx="303">
                  <c:v>48823</c:v>
                </c:pt>
                <c:pt idx="304">
                  <c:v>48853</c:v>
                </c:pt>
                <c:pt idx="305">
                  <c:v>48884</c:v>
                </c:pt>
                <c:pt idx="306">
                  <c:v>48914</c:v>
                </c:pt>
                <c:pt idx="307">
                  <c:v>48945</c:v>
                </c:pt>
                <c:pt idx="308">
                  <c:v>48976</c:v>
                </c:pt>
                <c:pt idx="309">
                  <c:v>49004</c:v>
                </c:pt>
                <c:pt idx="310">
                  <c:v>49035</c:v>
                </c:pt>
                <c:pt idx="311">
                  <c:v>49065</c:v>
                </c:pt>
                <c:pt idx="312">
                  <c:v>49096</c:v>
                </c:pt>
                <c:pt idx="313">
                  <c:v>49126</c:v>
                </c:pt>
                <c:pt idx="314">
                  <c:v>49157</c:v>
                </c:pt>
                <c:pt idx="315">
                  <c:v>49188</c:v>
                </c:pt>
                <c:pt idx="316">
                  <c:v>49218</c:v>
                </c:pt>
                <c:pt idx="317">
                  <c:v>49249</c:v>
                </c:pt>
                <c:pt idx="318">
                  <c:v>49279</c:v>
                </c:pt>
                <c:pt idx="319">
                  <c:v>49310</c:v>
                </c:pt>
                <c:pt idx="320">
                  <c:v>49341</c:v>
                </c:pt>
                <c:pt idx="321">
                  <c:v>49369</c:v>
                </c:pt>
                <c:pt idx="322">
                  <c:v>49400</c:v>
                </c:pt>
                <c:pt idx="323">
                  <c:v>49430</c:v>
                </c:pt>
                <c:pt idx="324">
                  <c:v>49461</c:v>
                </c:pt>
                <c:pt idx="325">
                  <c:v>49491</c:v>
                </c:pt>
                <c:pt idx="326">
                  <c:v>49522</c:v>
                </c:pt>
                <c:pt idx="327">
                  <c:v>49553</c:v>
                </c:pt>
                <c:pt idx="328">
                  <c:v>49583</c:v>
                </c:pt>
                <c:pt idx="329">
                  <c:v>49614</c:v>
                </c:pt>
                <c:pt idx="330">
                  <c:v>49644</c:v>
                </c:pt>
                <c:pt idx="331">
                  <c:v>49675</c:v>
                </c:pt>
                <c:pt idx="332">
                  <c:v>49706</c:v>
                </c:pt>
                <c:pt idx="333">
                  <c:v>49735</c:v>
                </c:pt>
                <c:pt idx="334">
                  <c:v>49766</c:v>
                </c:pt>
                <c:pt idx="335">
                  <c:v>49796</c:v>
                </c:pt>
                <c:pt idx="336">
                  <c:v>49827</c:v>
                </c:pt>
                <c:pt idx="337">
                  <c:v>49857</c:v>
                </c:pt>
                <c:pt idx="338">
                  <c:v>49888</c:v>
                </c:pt>
                <c:pt idx="339">
                  <c:v>49919</c:v>
                </c:pt>
                <c:pt idx="340">
                  <c:v>49949</c:v>
                </c:pt>
                <c:pt idx="341">
                  <c:v>49980</c:v>
                </c:pt>
                <c:pt idx="342">
                  <c:v>50010</c:v>
                </c:pt>
                <c:pt idx="343">
                  <c:v>50041</c:v>
                </c:pt>
                <c:pt idx="344">
                  <c:v>50072</c:v>
                </c:pt>
                <c:pt idx="345">
                  <c:v>50100</c:v>
                </c:pt>
                <c:pt idx="346">
                  <c:v>50131</c:v>
                </c:pt>
                <c:pt idx="347">
                  <c:v>50161</c:v>
                </c:pt>
                <c:pt idx="348">
                  <c:v>50192</c:v>
                </c:pt>
                <c:pt idx="349">
                  <c:v>50222</c:v>
                </c:pt>
                <c:pt idx="350">
                  <c:v>50253</c:v>
                </c:pt>
                <c:pt idx="351">
                  <c:v>50284</c:v>
                </c:pt>
                <c:pt idx="352">
                  <c:v>50314</c:v>
                </c:pt>
                <c:pt idx="353">
                  <c:v>50345</c:v>
                </c:pt>
                <c:pt idx="354">
                  <c:v>50375</c:v>
                </c:pt>
                <c:pt idx="355">
                  <c:v>50406</c:v>
                </c:pt>
                <c:pt idx="356">
                  <c:v>50437</c:v>
                </c:pt>
                <c:pt idx="357">
                  <c:v>50465</c:v>
                </c:pt>
                <c:pt idx="358">
                  <c:v>50496</c:v>
                </c:pt>
                <c:pt idx="359">
                  <c:v>50526</c:v>
                </c:pt>
              </c:numCache>
            </c:numRef>
          </c:cat>
          <c:val>
            <c:numRef>
              <c:f>'Mortgage - example'!$F$31:$F$390</c:f>
              <c:numCache>
                <c:formatCode>_-\$* #,##0.00_-;"-$"* #,##0.00_-;_-\$* \-??_-;_-@_-</c:formatCode>
                <c:ptCount val="360"/>
                <c:pt idx="0">
                  <c:v>250000</c:v>
                </c:pt>
                <c:pt idx="1">
                  <c:v>247379.7</c:v>
                </c:pt>
                <c:pt idx="2">
                  <c:v>247028.66</c:v>
                </c:pt>
                <c:pt idx="3">
                  <c:v>246264.39</c:v>
                </c:pt>
                <c:pt idx="4">
                  <c:v>245871.28</c:v>
                </c:pt>
                <c:pt idx="5">
                  <c:v>245433.92</c:v>
                </c:pt>
                <c:pt idx="6">
                  <c:v>244579.5</c:v>
                </c:pt>
                <c:pt idx="7">
                  <c:v>244157.3</c:v>
                </c:pt>
                <c:pt idx="8">
                  <c:v>243293.82</c:v>
                </c:pt>
                <c:pt idx="9">
                  <c:v>242292.49</c:v>
                </c:pt>
                <c:pt idx="10">
                  <c:v>241544.82</c:v>
                </c:pt>
                <c:pt idx="11">
                  <c:v>241032.74</c:v>
                </c:pt>
                <c:pt idx="12">
                  <c:v>240484.99</c:v>
                </c:pt>
                <c:pt idx="13">
                  <c:v>239968.34999999998</c:v>
                </c:pt>
                <c:pt idx="14">
                  <c:v>239349.28</c:v>
                </c:pt>
                <c:pt idx="15">
                  <c:v>238070.78</c:v>
                </c:pt>
                <c:pt idx="16">
                  <c:v>239327.26</c:v>
                </c:pt>
                <c:pt idx="17">
                  <c:v>239011.79</c:v>
                </c:pt>
                <c:pt idx="18">
                  <c:v>238758.29</c:v>
                </c:pt>
                <c:pt idx="19">
                  <c:v>238426.92</c:v>
                </c:pt>
                <c:pt idx="20">
                  <c:v>237978.88</c:v>
                </c:pt>
                <c:pt idx="21">
                  <c:v>237688.37</c:v>
                </c:pt>
                <c:pt idx="22">
                  <c:v>237258.12</c:v>
                </c:pt>
                <c:pt idx="23">
                  <c:v>236831.26</c:v>
                </c:pt>
                <c:pt idx="24">
                  <c:v>236271.43</c:v>
                </c:pt>
                <c:pt idx="25">
                  <c:v>235661.1</c:v>
                </c:pt>
                <c:pt idx="26">
                  <c:v>235098.91</c:v>
                </c:pt>
                <c:pt idx="27">
                  <c:v>234245.36</c:v>
                </c:pt>
                <c:pt idx="28">
                  <c:v>233522.54</c:v>
                </c:pt>
                <c:pt idx="29">
                  <c:v>230227.34</c:v>
                </c:pt>
                <c:pt idx="30">
                  <c:v>229742.18</c:v>
                </c:pt>
                <c:pt idx="31">
                  <c:v>227293.72</c:v>
                </c:pt>
                <c:pt idx="32">
                  <c:v>226326.91</c:v>
                </c:pt>
                <c:pt idx="33">
                  <c:v>224277.42</c:v>
                </c:pt>
                <c:pt idx="34">
                  <c:v>223002.87</c:v>
                </c:pt>
                <c:pt idx="35">
                  <c:v>221175.13</c:v>
                </c:pt>
                <c:pt idx="36">
                  <c:v>219250.89</c:v>
                </c:pt>
                <c:pt idx="37">
                  <c:v>218811.07</c:v>
                </c:pt>
                <c:pt idx="38">
                  <c:v>218306.85</c:v>
                </c:pt>
                <c:pt idx="39">
                  <c:v>216546.34</c:v>
                </c:pt>
                <c:pt idx="40">
                  <c:v>214916.9</c:v>
                </c:pt>
                <c:pt idx="41">
                  <c:v>214288.71</c:v>
                </c:pt>
                <c:pt idx="42">
                  <c:v>213445.6</c:v>
                </c:pt>
                <c:pt idx="43">
                  <c:v>212309.01</c:v>
                </c:pt>
                <c:pt idx="44">
                  <c:v>211386.52</c:v>
                </c:pt>
                <c:pt idx="45">
                  <c:v>210863.28</c:v>
                </c:pt>
                <c:pt idx="46">
                  <c:v>214186.67</c:v>
                </c:pt>
                <c:pt idx="47">
                  <c:v>211118.63</c:v>
                </c:pt>
                <c:pt idx="48">
                  <c:v>209896.6</c:v>
                </c:pt>
                <c:pt idx="49">
                  <c:v>208286.47</c:v>
                </c:pt>
                <c:pt idx="50">
                  <c:v>201209.44</c:v>
                </c:pt>
                <c:pt idx="51">
                  <c:v>192996.96</c:v>
                </c:pt>
                <c:pt idx="52">
                  <c:v>196978.14</c:v>
                </c:pt>
                <c:pt idx="53">
                  <c:v>196821.37</c:v>
                </c:pt>
                <c:pt idx="54">
                  <c:v>195077.55</c:v>
                </c:pt>
                <c:pt idx="55">
                  <c:v>194574.23</c:v>
                </c:pt>
                <c:pt idx="56">
                  <c:v>193978</c:v>
                </c:pt>
                <c:pt idx="57">
                  <c:v>196123.27</c:v>
                </c:pt>
                <c:pt idx="58">
                  <c:v>196953.95</c:v>
                </c:pt>
                <c:pt idx="59">
                  <c:v>196885.54</c:v>
                </c:pt>
                <c:pt idx="60">
                  <c:v>196622.59</c:v>
                </c:pt>
                <c:pt idx="61">
                  <c:v>195533.75</c:v>
                </c:pt>
                <c:pt idx="62">
                  <c:v>142256.56</c:v>
                </c:pt>
                <c:pt idx="63">
                  <c:v>139236.76999999999</c:v>
                </c:pt>
                <c:pt idx="64">
                  <c:v>137480.49</c:v>
                </c:pt>
                <c:pt idx="65">
                  <c:v>136708.67000000001</c:v>
                </c:pt>
                <c:pt idx="66">
                  <c:v>135411.14000000001</c:v>
                </c:pt>
                <c:pt idx="67">
                  <c:v>135291.04</c:v>
                </c:pt>
                <c:pt idx="68">
                  <c:v>133684.60999999999</c:v>
                </c:pt>
                <c:pt idx="69">
                  <c:v>130952.52</c:v>
                </c:pt>
                <c:pt idx="70">
                  <c:v>130152.49</c:v>
                </c:pt>
                <c:pt idx="71">
                  <c:v>128803.15</c:v>
                </c:pt>
                <c:pt idx="72">
                  <c:v>127893.68</c:v>
                </c:pt>
                <c:pt idx="73">
                  <c:v>132104</c:v>
                </c:pt>
                <c:pt idx="74">
                  <c:v>132689.87</c:v>
                </c:pt>
                <c:pt idx="75">
                  <c:v>132093.39000000001</c:v>
                </c:pt>
                <c:pt idx="76">
                  <c:v>121165.41</c:v>
                </c:pt>
                <c:pt idx="77">
                  <c:v>128666.34</c:v>
                </c:pt>
                <c:pt idx="78">
                  <c:v>127051.81</c:v>
                </c:pt>
                <c:pt idx="79">
                  <c:v>129854.49</c:v>
                </c:pt>
                <c:pt idx="80">
                  <c:v>128303.09</c:v>
                </c:pt>
                <c:pt idx="81">
                  <c:v>131063.56</c:v>
                </c:pt>
                <c:pt idx="82">
                  <c:v>130810.7</c:v>
                </c:pt>
                <c:pt idx="83">
                  <c:v>133618.95000000001</c:v>
                </c:pt>
                <c:pt idx="84">
                  <c:v>125786.24000000001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B-4FB7-AEEF-9655166EC3C8}"/>
            </c:ext>
          </c:extLst>
        </c:ser>
        <c:ser>
          <c:idx val="1"/>
          <c:order val="1"/>
          <c:tx>
            <c:strRef>
              <c:f>'Mortgage - example'!$I$26</c:f>
              <c:strCache>
                <c:ptCount val="1"/>
                <c:pt idx="0">
                  <c:v>(Amortisation)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cat>
            <c:numRef>
              <c:f>'Mortgage - example'!$A$31:$A$390</c:f>
              <c:numCache>
                <c:formatCode>mmm\-yy</c:formatCode>
                <c:ptCount val="360"/>
                <c:pt idx="0">
                  <c:v>39600</c:v>
                </c:pt>
                <c:pt idx="1">
                  <c:v>39630</c:v>
                </c:pt>
                <c:pt idx="2">
                  <c:v>39661</c:v>
                </c:pt>
                <c:pt idx="3">
                  <c:v>39692</c:v>
                </c:pt>
                <c:pt idx="4">
                  <c:v>39722</c:v>
                </c:pt>
                <c:pt idx="5">
                  <c:v>39753</c:v>
                </c:pt>
                <c:pt idx="6">
                  <c:v>39783</c:v>
                </c:pt>
                <c:pt idx="7">
                  <c:v>39814</c:v>
                </c:pt>
                <c:pt idx="8">
                  <c:v>39845</c:v>
                </c:pt>
                <c:pt idx="9">
                  <c:v>39873</c:v>
                </c:pt>
                <c:pt idx="10">
                  <c:v>39904</c:v>
                </c:pt>
                <c:pt idx="11">
                  <c:v>39934</c:v>
                </c:pt>
                <c:pt idx="12">
                  <c:v>39965</c:v>
                </c:pt>
                <c:pt idx="13">
                  <c:v>39995</c:v>
                </c:pt>
                <c:pt idx="14">
                  <c:v>40026</c:v>
                </c:pt>
                <c:pt idx="15">
                  <c:v>40057</c:v>
                </c:pt>
                <c:pt idx="16">
                  <c:v>40087</c:v>
                </c:pt>
                <c:pt idx="17">
                  <c:v>40118</c:v>
                </c:pt>
                <c:pt idx="18">
                  <c:v>40148</c:v>
                </c:pt>
                <c:pt idx="19">
                  <c:v>40179</c:v>
                </c:pt>
                <c:pt idx="20">
                  <c:v>40210</c:v>
                </c:pt>
                <c:pt idx="21">
                  <c:v>40238</c:v>
                </c:pt>
                <c:pt idx="22">
                  <c:v>40269</c:v>
                </c:pt>
                <c:pt idx="23">
                  <c:v>40299</c:v>
                </c:pt>
                <c:pt idx="24">
                  <c:v>40330</c:v>
                </c:pt>
                <c:pt idx="25">
                  <c:v>40360</c:v>
                </c:pt>
                <c:pt idx="26">
                  <c:v>40391</c:v>
                </c:pt>
                <c:pt idx="27">
                  <c:v>40422</c:v>
                </c:pt>
                <c:pt idx="28">
                  <c:v>40452</c:v>
                </c:pt>
                <c:pt idx="29">
                  <c:v>40483</c:v>
                </c:pt>
                <c:pt idx="30">
                  <c:v>40513</c:v>
                </c:pt>
                <c:pt idx="31">
                  <c:v>40544</c:v>
                </c:pt>
                <c:pt idx="32">
                  <c:v>40575</c:v>
                </c:pt>
                <c:pt idx="33">
                  <c:v>40603</c:v>
                </c:pt>
                <c:pt idx="34">
                  <c:v>40634</c:v>
                </c:pt>
                <c:pt idx="35">
                  <c:v>40664</c:v>
                </c:pt>
                <c:pt idx="36">
                  <c:v>40695</c:v>
                </c:pt>
                <c:pt idx="37">
                  <c:v>40725</c:v>
                </c:pt>
                <c:pt idx="38">
                  <c:v>40756</c:v>
                </c:pt>
                <c:pt idx="39">
                  <c:v>40787</c:v>
                </c:pt>
                <c:pt idx="40">
                  <c:v>40817</c:v>
                </c:pt>
                <c:pt idx="41">
                  <c:v>40848</c:v>
                </c:pt>
                <c:pt idx="42">
                  <c:v>40878</c:v>
                </c:pt>
                <c:pt idx="43">
                  <c:v>40909</c:v>
                </c:pt>
                <c:pt idx="44">
                  <c:v>40940</c:v>
                </c:pt>
                <c:pt idx="45">
                  <c:v>40969</c:v>
                </c:pt>
                <c:pt idx="46">
                  <c:v>41000</c:v>
                </c:pt>
                <c:pt idx="47">
                  <c:v>41030</c:v>
                </c:pt>
                <c:pt idx="48">
                  <c:v>41061</c:v>
                </c:pt>
                <c:pt idx="49">
                  <c:v>41091</c:v>
                </c:pt>
                <c:pt idx="50">
                  <c:v>41122</c:v>
                </c:pt>
                <c:pt idx="51">
                  <c:v>41153</c:v>
                </c:pt>
                <c:pt idx="52">
                  <c:v>41183</c:v>
                </c:pt>
                <c:pt idx="53">
                  <c:v>41214</c:v>
                </c:pt>
                <c:pt idx="54">
                  <c:v>41244</c:v>
                </c:pt>
                <c:pt idx="55">
                  <c:v>41275</c:v>
                </c:pt>
                <c:pt idx="56">
                  <c:v>41306</c:v>
                </c:pt>
                <c:pt idx="57">
                  <c:v>41334</c:v>
                </c:pt>
                <c:pt idx="58">
                  <c:v>41365</c:v>
                </c:pt>
                <c:pt idx="59">
                  <c:v>41395</c:v>
                </c:pt>
                <c:pt idx="60">
                  <c:v>41426</c:v>
                </c:pt>
                <c:pt idx="61">
                  <c:v>41456</c:v>
                </c:pt>
                <c:pt idx="62">
                  <c:v>41487</c:v>
                </c:pt>
                <c:pt idx="63">
                  <c:v>41518</c:v>
                </c:pt>
                <c:pt idx="64">
                  <c:v>41548</c:v>
                </c:pt>
                <c:pt idx="65">
                  <c:v>41579</c:v>
                </c:pt>
                <c:pt idx="66">
                  <c:v>41609</c:v>
                </c:pt>
                <c:pt idx="67">
                  <c:v>41640</c:v>
                </c:pt>
                <c:pt idx="68">
                  <c:v>41671</c:v>
                </c:pt>
                <c:pt idx="69">
                  <c:v>41699</c:v>
                </c:pt>
                <c:pt idx="70">
                  <c:v>41730</c:v>
                </c:pt>
                <c:pt idx="71">
                  <c:v>41760</c:v>
                </c:pt>
                <c:pt idx="72">
                  <c:v>41791</c:v>
                </c:pt>
                <c:pt idx="73">
                  <c:v>41821</c:v>
                </c:pt>
                <c:pt idx="74">
                  <c:v>41852</c:v>
                </c:pt>
                <c:pt idx="75">
                  <c:v>41883</c:v>
                </c:pt>
                <c:pt idx="76">
                  <c:v>41913</c:v>
                </c:pt>
                <c:pt idx="77">
                  <c:v>41944</c:v>
                </c:pt>
                <c:pt idx="78">
                  <c:v>41974</c:v>
                </c:pt>
                <c:pt idx="79">
                  <c:v>42005</c:v>
                </c:pt>
                <c:pt idx="80">
                  <c:v>42036</c:v>
                </c:pt>
                <c:pt idx="81">
                  <c:v>42064</c:v>
                </c:pt>
                <c:pt idx="82">
                  <c:v>42095</c:v>
                </c:pt>
                <c:pt idx="83">
                  <c:v>42125</c:v>
                </c:pt>
                <c:pt idx="84">
                  <c:v>42156</c:v>
                </c:pt>
                <c:pt idx="85">
                  <c:v>42186</c:v>
                </c:pt>
                <c:pt idx="86">
                  <c:v>42217</c:v>
                </c:pt>
                <c:pt idx="87">
                  <c:v>42248</c:v>
                </c:pt>
                <c:pt idx="88">
                  <c:v>42278</c:v>
                </c:pt>
                <c:pt idx="89">
                  <c:v>42309</c:v>
                </c:pt>
                <c:pt idx="90">
                  <c:v>42339</c:v>
                </c:pt>
                <c:pt idx="91">
                  <c:v>42370</c:v>
                </c:pt>
                <c:pt idx="92">
                  <c:v>42401</c:v>
                </c:pt>
                <c:pt idx="93">
                  <c:v>42430</c:v>
                </c:pt>
                <c:pt idx="94">
                  <c:v>42461</c:v>
                </c:pt>
                <c:pt idx="95">
                  <c:v>42491</c:v>
                </c:pt>
                <c:pt idx="96">
                  <c:v>42522</c:v>
                </c:pt>
                <c:pt idx="97">
                  <c:v>42552</c:v>
                </c:pt>
                <c:pt idx="98">
                  <c:v>42583</c:v>
                </c:pt>
                <c:pt idx="99">
                  <c:v>42614</c:v>
                </c:pt>
                <c:pt idx="100">
                  <c:v>42644</c:v>
                </c:pt>
                <c:pt idx="101">
                  <c:v>42675</c:v>
                </c:pt>
                <c:pt idx="102">
                  <c:v>42705</c:v>
                </c:pt>
                <c:pt idx="103">
                  <c:v>42736</c:v>
                </c:pt>
                <c:pt idx="104">
                  <c:v>42767</c:v>
                </c:pt>
                <c:pt idx="105">
                  <c:v>42795</c:v>
                </c:pt>
                <c:pt idx="106">
                  <c:v>42826</c:v>
                </c:pt>
                <c:pt idx="107">
                  <c:v>42856</c:v>
                </c:pt>
                <c:pt idx="108">
                  <c:v>42887</c:v>
                </c:pt>
                <c:pt idx="109">
                  <c:v>42917</c:v>
                </c:pt>
                <c:pt idx="110">
                  <c:v>42948</c:v>
                </c:pt>
                <c:pt idx="111">
                  <c:v>42979</c:v>
                </c:pt>
                <c:pt idx="112">
                  <c:v>43009</c:v>
                </c:pt>
                <c:pt idx="113">
                  <c:v>43040</c:v>
                </c:pt>
                <c:pt idx="114">
                  <c:v>43070</c:v>
                </c:pt>
                <c:pt idx="115">
                  <c:v>43101</c:v>
                </c:pt>
                <c:pt idx="116">
                  <c:v>43132</c:v>
                </c:pt>
                <c:pt idx="117">
                  <c:v>43160</c:v>
                </c:pt>
                <c:pt idx="118">
                  <c:v>43191</c:v>
                </c:pt>
                <c:pt idx="119">
                  <c:v>43221</c:v>
                </c:pt>
                <c:pt idx="120">
                  <c:v>43252</c:v>
                </c:pt>
                <c:pt idx="121">
                  <c:v>43282</c:v>
                </c:pt>
                <c:pt idx="122">
                  <c:v>43313</c:v>
                </c:pt>
                <c:pt idx="123">
                  <c:v>43344</c:v>
                </c:pt>
                <c:pt idx="124">
                  <c:v>43374</c:v>
                </c:pt>
                <c:pt idx="125">
                  <c:v>43405</c:v>
                </c:pt>
                <c:pt idx="126">
                  <c:v>43435</c:v>
                </c:pt>
                <c:pt idx="127">
                  <c:v>43466</c:v>
                </c:pt>
                <c:pt idx="128">
                  <c:v>43497</c:v>
                </c:pt>
                <c:pt idx="129">
                  <c:v>43525</c:v>
                </c:pt>
                <c:pt idx="130">
                  <c:v>43556</c:v>
                </c:pt>
                <c:pt idx="131">
                  <c:v>43586</c:v>
                </c:pt>
                <c:pt idx="132">
                  <c:v>43617</c:v>
                </c:pt>
                <c:pt idx="133">
                  <c:v>43647</c:v>
                </c:pt>
                <c:pt idx="134">
                  <c:v>43678</c:v>
                </c:pt>
                <c:pt idx="135">
                  <c:v>43709</c:v>
                </c:pt>
                <c:pt idx="136">
                  <c:v>43739</c:v>
                </c:pt>
                <c:pt idx="137">
                  <c:v>43770</c:v>
                </c:pt>
                <c:pt idx="138">
                  <c:v>43800</c:v>
                </c:pt>
                <c:pt idx="139">
                  <c:v>43831</c:v>
                </c:pt>
                <c:pt idx="140">
                  <c:v>43862</c:v>
                </c:pt>
                <c:pt idx="141">
                  <c:v>43891</c:v>
                </c:pt>
                <c:pt idx="142">
                  <c:v>43922</c:v>
                </c:pt>
                <c:pt idx="143">
                  <c:v>43952</c:v>
                </c:pt>
                <c:pt idx="144">
                  <c:v>43983</c:v>
                </c:pt>
                <c:pt idx="145">
                  <c:v>44013</c:v>
                </c:pt>
                <c:pt idx="146">
                  <c:v>44044</c:v>
                </c:pt>
                <c:pt idx="147">
                  <c:v>44075</c:v>
                </c:pt>
                <c:pt idx="148">
                  <c:v>44105</c:v>
                </c:pt>
                <c:pt idx="149">
                  <c:v>44136</c:v>
                </c:pt>
                <c:pt idx="150">
                  <c:v>44166</c:v>
                </c:pt>
                <c:pt idx="151">
                  <c:v>44197</c:v>
                </c:pt>
                <c:pt idx="152">
                  <c:v>44228</c:v>
                </c:pt>
                <c:pt idx="153">
                  <c:v>44256</c:v>
                </c:pt>
                <c:pt idx="154">
                  <c:v>44287</c:v>
                </c:pt>
                <c:pt idx="155">
                  <c:v>44317</c:v>
                </c:pt>
                <c:pt idx="156">
                  <c:v>44348</c:v>
                </c:pt>
                <c:pt idx="157">
                  <c:v>44378</c:v>
                </c:pt>
                <c:pt idx="158">
                  <c:v>44409</c:v>
                </c:pt>
                <c:pt idx="159">
                  <c:v>44440</c:v>
                </c:pt>
                <c:pt idx="160">
                  <c:v>44470</c:v>
                </c:pt>
                <c:pt idx="161">
                  <c:v>44501</c:v>
                </c:pt>
                <c:pt idx="162">
                  <c:v>44531</c:v>
                </c:pt>
                <c:pt idx="163">
                  <c:v>44562</c:v>
                </c:pt>
                <c:pt idx="164">
                  <c:v>44593</c:v>
                </c:pt>
                <c:pt idx="165">
                  <c:v>44621</c:v>
                </c:pt>
                <c:pt idx="166">
                  <c:v>44652</c:v>
                </c:pt>
                <c:pt idx="167">
                  <c:v>44682</c:v>
                </c:pt>
                <c:pt idx="168">
                  <c:v>44713</c:v>
                </c:pt>
                <c:pt idx="169">
                  <c:v>44743</c:v>
                </c:pt>
                <c:pt idx="170">
                  <c:v>44774</c:v>
                </c:pt>
                <c:pt idx="171">
                  <c:v>44805</c:v>
                </c:pt>
                <c:pt idx="172">
                  <c:v>44835</c:v>
                </c:pt>
                <c:pt idx="173">
                  <c:v>44866</c:v>
                </c:pt>
                <c:pt idx="174">
                  <c:v>44896</c:v>
                </c:pt>
                <c:pt idx="175">
                  <c:v>44927</c:v>
                </c:pt>
                <c:pt idx="176">
                  <c:v>44958</c:v>
                </c:pt>
                <c:pt idx="177">
                  <c:v>44986</c:v>
                </c:pt>
                <c:pt idx="178">
                  <c:v>45017</c:v>
                </c:pt>
                <c:pt idx="179">
                  <c:v>45047</c:v>
                </c:pt>
                <c:pt idx="180">
                  <c:v>45078</c:v>
                </c:pt>
                <c:pt idx="181">
                  <c:v>45108</c:v>
                </c:pt>
                <c:pt idx="182">
                  <c:v>45139</c:v>
                </c:pt>
                <c:pt idx="183">
                  <c:v>45170</c:v>
                </c:pt>
                <c:pt idx="184">
                  <c:v>45200</c:v>
                </c:pt>
                <c:pt idx="185">
                  <c:v>45231</c:v>
                </c:pt>
                <c:pt idx="186">
                  <c:v>45261</c:v>
                </c:pt>
                <c:pt idx="187">
                  <c:v>45292</c:v>
                </c:pt>
                <c:pt idx="188">
                  <c:v>45323</c:v>
                </c:pt>
                <c:pt idx="189">
                  <c:v>45352</c:v>
                </c:pt>
                <c:pt idx="190">
                  <c:v>45383</c:v>
                </c:pt>
                <c:pt idx="191">
                  <c:v>45413</c:v>
                </c:pt>
                <c:pt idx="192">
                  <c:v>45444</c:v>
                </c:pt>
                <c:pt idx="193">
                  <c:v>45474</c:v>
                </c:pt>
                <c:pt idx="194">
                  <c:v>45505</c:v>
                </c:pt>
                <c:pt idx="195">
                  <c:v>45536</c:v>
                </c:pt>
                <c:pt idx="196">
                  <c:v>45566</c:v>
                </c:pt>
                <c:pt idx="197">
                  <c:v>45597</c:v>
                </c:pt>
                <c:pt idx="198">
                  <c:v>45627</c:v>
                </c:pt>
                <c:pt idx="199">
                  <c:v>45658</c:v>
                </c:pt>
                <c:pt idx="200">
                  <c:v>45689</c:v>
                </c:pt>
                <c:pt idx="201">
                  <c:v>45717</c:v>
                </c:pt>
                <c:pt idx="202">
                  <c:v>45748</c:v>
                </c:pt>
                <c:pt idx="203">
                  <c:v>45778</c:v>
                </c:pt>
                <c:pt idx="204">
                  <c:v>45809</c:v>
                </c:pt>
                <c:pt idx="205">
                  <c:v>45839</c:v>
                </c:pt>
                <c:pt idx="206">
                  <c:v>45870</c:v>
                </c:pt>
                <c:pt idx="207">
                  <c:v>45901</c:v>
                </c:pt>
                <c:pt idx="208">
                  <c:v>45931</c:v>
                </c:pt>
                <c:pt idx="209">
                  <c:v>45962</c:v>
                </c:pt>
                <c:pt idx="210">
                  <c:v>45992</c:v>
                </c:pt>
                <c:pt idx="211">
                  <c:v>46023</c:v>
                </c:pt>
                <c:pt idx="212">
                  <c:v>46054</c:v>
                </c:pt>
                <c:pt idx="213">
                  <c:v>46082</c:v>
                </c:pt>
                <c:pt idx="214">
                  <c:v>46113</c:v>
                </c:pt>
                <c:pt idx="215">
                  <c:v>46143</c:v>
                </c:pt>
                <c:pt idx="216">
                  <c:v>46174</c:v>
                </c:pt>
                <c:pt idx="217">
                  <c:v>46204</c:v>
                </c:pt>
                <c:pt idx="218">
                  <c:v>46235</c:v>
                </c:pt>
                <c:pt idx="219">
                  <c:v>46266</c:v>
                </c:pt>
                <c:pt idx="220">
                  <c:v>46296</c:v>
                </c:pt>
                <c:pt idx="221">
                  <c:v>46327</c:v>
                </c:pt>
                <c:pt idx="222">
                  <c:v>46357</c:v>
                </c:pt>
                <c:pt idx="223">
                  <c:v>46388</c:v>
                </c:pt>
                <c:pt idx="224">
                  <c:v>46419</c:v>
                </c:pt>
                <c:pt idx="225">
                  <c:v>46447</c:v>
                </c:pt>
                <c:pt idx="226">
                  <c:v>46478</c:v>
                </c:pt>
                <c:pt idx="227">
                  <c:v>46508</c:v>
                </c:pt>
                <c:pt idx="228">
                  <c:v>46539</c:v>
                </c:pt>
                <c:pt idx="229">
                  <c:v>46569</c:v>
                </c:pt>
                <c:pt idx="230">
                  <c:v>46600</c:v>
                </c:pt>
                <c:pt idx="231">
                  <c:v>46631</c:v>
                </c:pt>
                <c:pt idx="232">
                  <c:v>46661</c:v>
                </c:pt>
                <c:pt idx="233">
                  <c:v>46692</c:v>
                </c:pt>
                <c:pt idx="234">
                  <c:v>46722</c:v>
                </c:pt>
                <c:pt idx="235">
                  <c:v>46753</c:v>
                </c:pt>
                <c:pt idx="236">
                  <c:v>46784</c:v>
                </c:pt>
                <c:pt idx="237">
                  <c:v>46813</c:v>
                </c:pt>
                <c:pt idx="238">
                  <c:v>46844</c:v>
                </c:pt>
                <c:pt idx="239">
                  <c:v>46874</c:v>
                </c:pt>
                <c:pt idx="240">
                  <c:v>46905</c:v>
                </c:pt>
                <c:pt idx="241">
                  <c:v>46935</c:v>
                </c:pt>
                <c:pt idx="242">
                  <c:v>46966</c:v>
                </c:pt>
                <c:pt idx="243">
                  <c:v>46997</c:v>
                </c:pt>
                <c:pt idx="244">
                  <c:v>47027</c:v>
                </c:pt>
                <c:pt idx="245">
                  <c:v>47058</c:v>
                </c:pt>
                <c:pt idx="246">
                  <c:v>47088</c:v>
                </c:pt>
                <c:pt idx="247">
                  <c:v>47119</c:v>
                </c:pt>
                <c:pt idx="248">
                  <c:v>47150</c:v>
                </c:pt>
                <c:pt idx="249">
                  <c:v>47178</c:v>
                </c:pt>
                <c:pt idx="250">
                  <c:v>47209</c:v>
                </c:pt>
                <c:pt idx="251">
                  <c:v>47239</c:v>
                </c:pt>
                <c:pt idx="252">
                  <c:v>47270</c:v>
                </c:pt>
                <c:pt idx="253">
                  <c:v>47300</c:v>
                </c:pt>
                <c:pt idx="254">
                  <c:v>47331</c:v>
                </c:pt>
                <c:pt idx="255">
                  <c:v>47362</c:v>
                </c:pt>
                <c:pt idx="256">
                  <c:v>47392</c:v>
                </c:pt>
                <c:pt idx="257">
                  <c:v>47423</c:v>
                </c:pt>
                <c:pt idx="258">
                  <c:v>47453</c:v>
                </c:pt>
                <c:pt idx="259">
                  <c:v>47484</c:v>
                </c:pt>
                <c:pt idx="260">
                  <c:v>47515</c:v>
                </c:pt>
                <c:pt idx="261">
                  <c:v>47543</c:v>
                </c:pt>
                <c:pt idx="262">
                  <c:v>47574</c:v>
                </c:pt>
                <c:pt idx="263">
                  <c:v>47604</c:v>
                </c:pt>
                <c:pt idx="264">
                  <c:v>47635</c:v>
                </c:pt>
                <c:pt idx="265">
                  <c:v>47665</c:v>
                </c:pt>
                <c:pt idx="266">
                  <c:v>47696</c:v>
                </c:pt>
                <c:pt idx="267">
                  <c:v>47727</c:v>
                </c:pt>
                <c:pt idx="268">
                  <c:v>47757</c:v>
                </c:pt>
                <c:pt idx="269">
                  <c:v>47788</c:v>
                </c:pt>
                <c:pt idx="270">
                  <c:v>47818</c:v>
                </c:pt>
                <c:pt idx="271">
                  <c:v>47849</c:v>
                </c:pt>
                <c:pt idx="272">
                  <c:v>47880</c:v>
                </c:pt>
                <c:pt idx="273">
                  <c:v>47908</c:v>
                </c:pt>
                <c:pt idx="274">
                  <c:v>47939</c:v>
                </c:pt>
                <c:pt idx="275">
                  <c:v>47969</c:v>
                </c:pt>
                <c:pt idx="276">
                  <c:v>48000</c:v>
                </c:pt>
                <c:pt idx="277">
                  <c:v>48030</c:v>
                </c:pt>
                <c:pt idx="278">
                  <c:v>48061</c:v>
                </c:pt>
                <c:pt idx="279">
                  <c:v>48092</c:v>
                </c:pt>
                <c:pt idx="280">
                  <c:v>48122</c:v>
                </c:pt>
                <c:pt idx="281">
                  <c:v>48153</c:v>
                </c:pt>
                <c:pt idx="282">
                  <c:v>48183</c:v>
                </c:pt>
                <c:pt idx="283">
                  <c:v>48214</c:v>
                </c:pt>
                <c:pt idx="284">
                  <c:v>48245</c:v>
                </c:pt>
                <c:pt idx="285">
                  <c:v>48274</c:v>
                </c:pt>
                <c:pt idx="286">
                  <c:v>48305</c:v>
                </c:pt>
                <c:pt idx="287">
                  <c:v>48335</c:v>
                </c:pt>
                <c:pt idx="288">
                  <c:v>48366</c:v>
                </c:pt>
                <c:pt idx="289">
                  <c:v>48396</c:v>
                </c:pt>
                <c:pt idx="290">
                  <c:v>48427</c:v>
                </c:pt>
                <c:pt idx="291">
                  <c:v>48458</c:v>
                </c:pt>
                <c:pt idx="292">
                  <c:v>48488</c:v>
                </c:pt>
                <c:pt idx="293">
                  <c:v>48519</c:v>
                </c:pt>
                <c:pt idx="294">
                  <c:v>48549</c:v>
                </c:pt>
                <c:pt idx="295">
                  <c:v>48580</c:v>
                </c:pt>
                <c:pt idx="296">
                  <c:v>48611</c:v>
                </c:pt>
                <c:pt idx="297">
                  <c:v>48639</c:v>
                </c:pt>
                <c:pt idx="298">
                  <c:v>48670</c:v>
                </c:pt>
                <c:pt idx="299">
                  <c:v>48700</c:v>
                </c:pt>
                <c:pt idx="300">
                  <c:v>48731</c:v>
                </c:pt>
                <c:pt idx="301">
                  <c:v>48761</c:v>
                </c:pt>
                <c:pt idx="302">
                  <c:v>48792</c:v>
                </c:pt>
                <c:pt idx="303">
                  <c:v>48823</c:v>
                </c:pt>
                <c:pt idx="304">
                  <c:v>48853</c:v>
                </c:pt>
                <c:pt idx="305">
                  <c:v>48884</c:v>
                </c:pt>
                <c:pt idx="306">
                  <c:v>48914</c:v>
                </c:pt>
                <c:pt idx="307">
                  <c:v>48945</c:v>
                </c:pt>
                <c:pt idx="308">
                  <c:v>48976</c:v>
                </c:pt>
                <c:pt idx="309">
                  <c:v>49004</c:v>
                </c:pt>
                <c:pt idx="310">
                  <c:v>49035</c:v>
                </c:pt>
                <c:pt idx="311">
                  <c:v>49065</c:v>
                </c:pt>
                <c:pt idx="312">
                  <c:v>49096</c:v>
                </c:pt>
                <c:pt idx="313">
                  <c:v>49126</c:v>
                </c:pt>
                <c:pt idx="314">
                  <c:v>49157</c:v>
                </c:pt>
                <c:pt idx="315">
                  <c:v>49188</c:v>
                </c:pt>
                <c:pt idx="316">
                  <c:v>49218</c:v>
                </c:pt>
                <c:pt idx="317">
                  <c:v>49249</c:v>
                </c:pt>
                <c:pt idx="318">
                  <c:v>49279</c:v>
                </c:pt>
                <c:pt idx="319">
                  <c:v>49310</c:v>
                </c:pt>
                <c:pt idx="320">
                  <c:v>49341</c:v>
                </c:pt>
                <c:pt idx="321">
                  <c:v>49369</c:v>
                </c:pt>
                <c:pt idx="322">
                  <c:v>49400</c:v>
                </c:pt>
                <c:pt idx="323">
                  <c:v>49430</c:v>
                </c:pt>
                <c:pt idx="324">
                  <c:v>49461</c:v>
                </c:pt>
                <c:pt idx="325">
                  <c:v>49491</c:v>
                </c:pt>
                <c:pt idx="326">
                  <c:v>49522</c:v>
                </c:pt>
                <c:pt idx="327">
                  <c:v>49553</c:v>
                </c:pt>
                <c:pt idx="328">
                  <c:v>49583</c:v>
                </c:pt>
                <c:pt idx="329">
                  <c:v>49614</c:v>
                </c:pt>
                <c:pt idx="330">
                  <c:v>49644</c:v>
                </c:pt>
                <c:pt idx="331">
                  <c:v>49675</c:v>
                </c:pt>
                <c:pt idx="332">
                  <c:v>49706</c:v>
                </c:pt>
                <c:pt idx="333">
                  <c:v>49735</c:v>
                </c:pt>
                <c:pt idx="334">
                  <c:v>49766</c:v>
                </c:pt>
                <c:pt idx="335">
                  <c:v>49796</c:v>
                </c:pt>
                <c:pt idx="336">
                  <c:v>49827</c:v>
                </c:pt>
                <c:pt idx="337">
                  <c:v>49857</c:v>
                </c:pt>
                <c:pt idx="338">
                  <c:v>49888</c:v>
                </c:pt>
                <c:pt idx="339">
                  <c:v>49919</c:v>
                </c:pt>
                <c:pt idx="340">
                  <c:v>49949</c:v>
                </c:pt>
                <c:pt idx="341">
                  <c:v>49980</c:v>
                </c:pt>
                <c:pt idx="342">
                  <c:v>50010</c:v>
                </c:pt>
                <c:pt idx="343">
                  <c:v>50041</c:v>
                </c:pt>
                <c:pt idx="344">
                  <c:v>50072</c:v>
                </c:pt>
                <c:pt idx="345">
                  <c:v>50100</c:v>
                </c:pt>
                <c:pt idx="346">
                  <c:v>50131</c:v>
                </c:pt>
                <c:pt idx="347">
                  <c:v>50161</c:v>
                </c:pt>
                <c:pt idx="348">
                  <c:v>50192</c:v>
                </c:pt>
                <c:pt idx="349">
                  <c:v>50222</c:v>
                </c:pt>
                <c:pt idx="350">
                  <c:v>50253</c:v>
                </c:pt>
                <c:pt idx="351">
                  <c:v>50284</c:v>
                </c:pt>
                <c:pt idx="352">
                  <c:v>50314</c:v>
                </c:pt>
                <c:pt idx="353">
                  <c:v>50345</c:v>
                </c:pt>
                <c:pt idx="354">
                  <c:v>50375</c:v>
                </c:pt>
                <c:pt idx="355">
                  <c:v>50406</c:v>
                </c:pt>
                <c:pt idx="356">
                  <c:v>50437</c:v>
                </c:pt>
                <c:pt idx="357">
                  <c:v>50465</c:v>
                </c:pt>
                <c:pt idx="358">
                  <c:v>50496</c:v>
                </c:pt>
                <c:pt idx="359">
                  <c:v>50526</c:v>
                </c:pt>
              </c:numCache>
            </c:numRef>
          </c:cat>
          <c:val>
            <c:numRef>
              <c:f>'Mortgage - example'!$I$31:$I$390</c:f>
              <c:numCache>
                <c:formatCode>\$#,##0.00;[Red]"-$"#,##0.00</c:formatCode>
                <c:ptCount val="360"/>
                <c:pt idx="0">
                  <c:v>249863.44345763803</c:v>
                </c:pt>
                <c:pt idx="1">
                  <c:v>249725.86274120834</c:v>
                </c:pt>
                <c:pt idx="2">
                  <c:v>249587.25016940545</c:v>
                </c:pt>
                <c:pt idx="3">
                  <c:v>249447.59800331402</c:v>
                </c:pt>
                <c:pt idx="4">
                  <c:v>249306.89844597693</c:v>
                </c:pt>
                <c:pt idx="5">
                  <c:v>249165.14364195979</c:v>
                </c:pt>
                <c:pt idx="6">
                  <c:v>249022.32567691253</c:v>
                </c:pt>
                <c:pt idx="7">
                  <c:v>248878.4365771274</c:v>
                </c:pt>
                <c:pt idx="8">
                  <c:v>248733.46830909391</c:v>
                </c:pt>
                <c:pt idx="9">
                  <c:v>248587.41277905015</c:v>
                </c:pt>
                <c:pt idx="10">
                  <c:v>248440.26183253108</c:v>
                </c:pt>
                <c:pt idx="11">
                  <c:v>248292.00725391309</c:v>
                </c:pt>
                <c:pt idx="12">
                  <c:v>248142.6407659555</c:v>
                </c:pt>
                <c:pt idx="13">
                  <c:v>247992.15402933821</c:v>
                </c:pt>
                <c:pt idx="14">
                  <c:v>247840.5386421963</c:v>
                </c:pt>
                <c:pt idx="15">
                  <c:v>247687.78613965082</c:v>
                </c:pt>
                <c:pt idx="16">
                  <c:v>247533.88799333625</c:v>
                </c:pt>
                <c:pt idx="17">
                  <c:v>247378.83561092432</c:v>
                </c:pt>
                <c:pt idx="18">
                  <c:v>247222.62033564429</c:v>
                </c:pt>
                <c:pt idx="19">
                  <c:v>247065.23344579965</c:v>
                </c:pt>
                <c:pt idx="20">
                  <c:v>246906.66615428118</c:v>
                </c:pt>
                <c:pt idx="21">
                  <c:v>246746.90960807633</c:v>
                </c:pt>
                <c:pt idx="22">
                  <c:v>246585.95488777495</c:v>
                </c:pt>
                <c:pt idx="23">
                  <c:v>246423.7930070713</c:v>
                </c:pt>
                <c:pt idx="24">
                  <c:v>246260.41491226238</c:v>
                </c:pt>
                <c:pt idx="25">
                  <c:v>246095.81148174239</c:v>
                </c:pt>
                <c:pt idx="26">
                  <c:v>245929.97352549349</c:v>
                </c:pt>
                <c:pt idx="27">
                  <c:v>245762.89178457274</c:v>
                </c:pt>
                <c:pt idx="28">
                  <c:v>245594.55693059508</c:v>
                </c:pt>
                <c:pt idx="29">
                  <c:v>245424.95956521257</c:v>
                </c:pt>
                <c:pt idx="30">
                  <c:v>245254.09021958971</c:v>
                </c:pt>
                <c:pt idx="31">
                  <c:v>245081.93935387468</c:v>
                </c:pt>
                <c:pt idx="32">
                  <c:v>244908.49735666678</c:v>
                </c:pt>
                <c:pt idx="33">
                  <c:v>244733.75454447983</c:v>
                </c:pt>
                <c:pt idx="34">
                  <c:v>244557.70116120146</c:v>
                </c:pt>
                <c:pt idx="35">
                  <c:v>244380.32737754853</c:v>
                </c:pt>
                <c:pt idx="36">
                  <c:v>244201.62329051818</c:v>
                </c:pt>
                <c:pt idx="37">
                  <c:v>244021.57892283512</c:v>
                </c:pt>
                <c:pt idx="38">
                  <c:v>243840.18422239443</c:v>
                </c:pt>
                <c:pt idx="39">
                  <c:v>243657.42906170042</c:v>
                </c:pt>
                <c:pt idx="40">
                  <c:v>243473.30323730121</c:v>
                </c:pt>
                <c:pt idx="41">
                  <c:v>243287.796469219</c:v>
                </c:pt>
                <c:pt idx="42">
                  <c:v>243100.89840037617</c:v>
                </c:pt>
                <c:pt idx="43">
                  <c:v>242912.59859601705</c:v>
                </c:pt>
                <c:pt idx="44">
                  <c:v>242722.88654312523</c:v>
                </c:pt>
                <c:pt idx="45">
                  <c:v>242531.75164983672</c:v>
                </c:pt>
                <c:pt idx="46">
                  <c:v>242339.18324484854</c:v>
                </c:pt>
                <c:pt idx="47">
                  <c:v>242145.17057682294</c:v>
                </c:pt>
                <c:pt idx="48">
                  <c:v>241949.70281378715</c:v>
                </c:pt>
                <c:pt idx="49">
                  <c:v>241752.76904252861</c:v>
                </c:pt>
                <c:pt idx="50">
                  <c:v>241554.35826798563</c:v>
                </c:pt>
                <c:pt idx="51">
                  <c:v>241354.45941263356</c:v>
                </c:pt>
                <c:pt idx="52">
                  <c:v>241153.06131586636</c:v>
                </c:pt>
                <c:pt idx="53">
                  <c:v>240950.1527333734</c:v>
                </c:pt>
                <c:pt idx="54">
                  <c:v>240745.72233651174</c:v>
                </c:pt>
                <c:pt idx="55">
                  <c:v>240539.75871167361</c:v>
                </c:pt>
                <c:pt idx="56">
                  <c:v>240332.25035964922</c:v>
                </c:pt>
                <c:pt idx="57">
                  <c:v>240123.18569498463</c:v>
                </c:pt>
                <c:pt idx="58">
                  <c:v>239912.55304533505</c:v>
                </c:pt>
                <c:pt idx="59">
                  <c:v>239700.3406508131</c:v>
                </c:pt>
                <c:pt idx="60">
                  <c:v>239486.53666333226</c:v>
                </c:pt>
                <c:pt idx="61">
                  <c:v>239271.12914594528</c:v>
                </c:pt>
                <c:pt idx="62">
                  <c:v>239054.10607217791</c:v>
                </c:pt>
                <c:pt idx="63">
                  <c:v>238835.4553253573</c:v>
                </c:pt>
                <c:pt idx="64">
                  <c:v>238615.16469793551</c:v>
                </c:pt>
                <c:pt idx="65">
                  <c:v>238393.22189080808</c:v>
                </c:pt>
                <c:pt idx="66">
                  <c:v>238169.61451262719</c:v>
                </c:pt>
                <c:pt idx="67">
                  <c:v>237944.33007910993</c:v>
                </c:pt>
                <c:pt idx="68">
                  <c:v>237717.3560123413</c:v>
                </c:pt>
                <c:pt idx="69">
                  <c:v>237488.6796400719</c:v>
                </c:pt>
                <c:pt idx="70">
                  <c:v>237258.28819501048</c:v>
                </c:pt>
                <c:pt idx="71">
                  <c:v>237026.16881411109</c:v>
                </c:pt>
                <c:pt idx="72">
                  <c:v>236792.30853785496</c:v>
                </c:pt>
                <c:pt idx="73">
                  <c:v>236556.69430952691</c:v>
                </c:pt>
                <c:pt idx="74">
                  <c:v>236319.31297448641</c:v>
                </c:pt>
                <c:pt idx="75">
                  <c:v>236080.15127943311</c:v>
                </c:pt>
                <c:pt idx="76">
                  <c:v>235839.19587166689</c:v>
                </c:pt>
                <c:pt idx="77">
                  <c:v>235596.43329834242</c:v>
                </c:pt>
                <c:pt idx="78">
                  <c:v>235351.85000571804</c:v>
                </c:pt>
                <c:pt idx="79">
                  <c:v>235105.43233839897</c:v>
                </c:pt>
                <c:pt idx="80">
                  <c:v>234857.16653857499</c:v>
                </c:pt>
                <c:pt idx="81">
                  <c:v>234607.03874525236</c:v>
                </c:pt>
                <c:pt idx="82">
                  <c:v>234355.03499347979</c:v>
                </c:pt>
                <c:pt idx="83">
                  <c:v>234101.14121356892</c:v>
                </c:pt>
                <c:pt idx="84">
                  <c:v>233845.34323030873</c:v>
                </c:pt>
                <c:pt idx="85">
                  <c:v>233587.6267621741</c:v>
                </c:pt>
                <c:pt idx="86">
                  <c:v>233327.97742052845</c:v>
                </c:pt>
                <c:pt idx="87">
                  <c:v>233066.38070882045</c:v>
                </c:pt>
                <c:pt idx="88">
                  <c:v>232802.82202177466</c:v>
                </c:pt>
                <c:pt idx="89">
                  <c:v>232537.286644576</c:v>
                </c:pt>
                <c:pt idx="90">
                  <c:v>232269.75975204835</c:v>
                </c:pt>
                <c:pt idx="91">
                  <c:v>232000.22640782676</c:v>
                </c:pt>
                <c:pt idx="92">
                  <c:v>231728.6715635235</c:v>
                </c:pt>
                <c:pt idx="93">
                  <c:v>231455.08005788797</c:v>
                </c:pt>
                <c:pt idx="94">
                  <c:v>231179.43661596018</c:v>
                </c:pt>
                <c:pt idx="95">
                  <c:v>230901.72584821793</c:v>
                </c:pt>
                <c:pt idx="96">
                  <c:v>230621.93224971762</c:v>
                </c:pt>
                <c:pt idx="97">
                  <c:v>230340.04019922853</c:v>
                </c:pt>
                <c:pt idx="98">
                  <c:v>230056.03395836079</c:v>
                </c:pt>
                <c:pt idx="99">
                  <c:v>229769.89767068654</c:v>
                </c:pt>
                <c:pt idx="100">
                  <c:v>229481.61536085472</c:v>
                </c:pt>
                <c:pt idx="101">
                  <c:v>229191.17093369918</c:v>
                </c:pt>
                <c:pt idx="102">
                  <c:v>228898.54817333998</c:v>
                </c:pt>
                <c:pt idx="103">
                  <c:v>228603.73074227807</c:v>
                </c:pt>
                <c:pt idx="104">
                  <c:v>228306.7021804832</c:v>
                </c:pt>
                <c:pt idx="105">
                  <c:v>228007.44590447488</c:v>
                </c:pt>
                <c:pt idx="106">
                  <c:v>227705.94520639649</c:v>
                </c:pt>
                <c:pt idx="107">
                  <c:v>227402.1832530825</c:v>
                </c:pt>
                <c:pt idx="108">
                  <c:v>227096.14308511867</c:v>
                </c:pt>
                <c:pt idx="109">
                  <c:v>226787.80761589512</c:v>
                </c:pt>
                <c:pt idx="110">
                  <c:v>226477.15963065237</c:v>
                </c:pt>
                <c:pt idx="111">
                  <c:v>226164.18178552031</c:v>
                </c:pt>
                <c:pt idx="112">
                  <c:v>225848.85660654976</c:v>
                </c:pt>
                <c:pt idx="113">
                  <c:v>225531.16648873693</c:v>
                </c:pt>
                <c:pt idx="114">
                  <c:v>225211.0936950405</c:v>
                </c:pt>
                <c:pt idx="115">
                  <c:v>224888.62035539135</c:v>
                </c:pt>
                <c:pt idx="116">
                  <c:v>224563.72846569482</c:v>
                </c:pt>
                <c:pt idx="117">
                  <c:v>224236.39988682559</c:v>
                </c:pt>
                <c:pt idx="118">
                  <c:v>223906.61634361482</c:v>
                </c:pt>
                <c:pt idx="119">
                  <c:v>223574.35942382997</c:v>
                </c:pt>
                <c:pt idx="120">
                  <c:v>223239.61057714673</c:v>
                </c:pt>
                <c:pt idx="121">
                  <c:v>222902.35111411338</c:v>
                </c:pt>
                <c:pt idx="122">
                  <c:v>222562.56220510727</c:v>
                </c:pt>
                <c:pt idx="123">
                  <c:v>222220.22487928363</c:v>
                </c:pt>
                <c:pt idx="124">
                  <c:v>221875.32002351631</c:v>
                </c:pt>
                <c:pt idx="125">
                  <c:v>221527.82838133074</c:v>
                </c:pt>
                <c:pt idx="126">
                  <c:v>221177.73055182875</c:v>
                </c:pt>
                <c:pt idx="127">
                  <c:v>220825.00698860551</c:v>
                </c:pt>
                <c:pt idx="128">
                  <c:v>220469.63799865809</c:v>
                </c:pt>
                <c:pt idx="129">
                  <c:v>220111.60374128606</c:v>
                </c:pt>
                <c:pt idx="130">
                  <c:v>219750.88422698376</c:v>
                </c:pt>
                <c:pt idx="131">
                  <c:v>219387.45931632418</c:v>
                </c:pt>
                <c:pt idx="132">
                  <c:v>219021.30871883465</c:v>
                </c:pt>
                <c:pt idx="133">
                  <c:v>218652.41199186395</c:v>
                </c:pt>
                <c:pt idx="134">
                  <c:v>218280.74853944097</c:v>
                </c:pt>
                <c:pt idx="135">
                  <c:v>217906.29761112481</c:v>
                </c:pt>
                <c:pt idx="136">
                  <c:v>217529.0383008463</c:v>
                </c:pt>
                <c:pt idx="137">
                  <c:v>217148.94954574067</c:v>
                </c:pt>
                <c:pt idx="138">
                  <c:v>216766.01012497177</c:v>
                </c:pt>
                <c:pt idx="139">
                  <c:v>216380.1986585471</c:v>
                </c:pt>
                <c:pt idx="140">
                  <c:v>215991.49360612425</c:v>
                </c:pt>
                <c:pt idx="141">
                  <c:v>215599.87326580822</c:v>
                </c:pt>
                <c:pt idx="142">
                  <c:v>215205.31577293982</c:v>
                </c:pt>
                <c:pt idx="143">
                  <c:v>214807.79909887491</c:v>
                </c:pt>
                <c:pt idx="144">
                  <c:v>214407.30104975452</c:v>
                </c:pt>
                <c:pt idx="145">
                  <c:v>214003.79926526573</c:v>
                </c:pt>
                <c:pt idx="146">
                  <c:v>213597.27121739325</c:v>
                </c:pt>
                <c:pt idx="147">
                  <c:v>213187.69420916174</c:v>
                </c:pt>
                <c:pt idx="148">
                  <c:v>212775.04537336848</c:v>
                </c:pt>
                <c:pt idx="149">
                  <c:v>212359.30167130681</c:v>
                </c:pt>
                <c:pt idx="150">
                  <c:v>211940.43989147965</c:v>
                </c:pt>
                <c:pt idx="151">
                  <c:v>211518.43664830379</c:v>
                </c:pt>
                <c:pt idx="152">
                  <c:v>211093.2683808041</c:v>
                </c:pt>
                <c:pt idx="153">
                  <c:v>210664.91135129819</c:v>
                </c:pt>
                <c:pt idx="154">
                  <c:v>210233.34164407096</c:v>
                </c:pt>
                <c:pt idx="155">
                  <c:v>209798.53516403952</c:v>
                </c:pt>
                <c:pt idx="156">
                  <c:v>209360.46763540787</c:v>
                </c:pt>
                <c:pt idx="157">
                  <c:v>208919.11460031147</c:v>
                </c:pt>
                <c:pt idx="158">
                  <c:v>208474.45141745184</c:v>
                </c:pt>
                <c:pt idx="159">
                  <c:v>208026.45326072077</c:v>
                </c:pt>
                <c:pt idx="160">
                  <c:v>207575.09511781423</c:v>
                </c:pt>
                <c:pt idx="161">
                  <c:v>207120.35178883589</c:v>
                </c:pt>
                <c:pt idx="162">
                  <c:v>206662.19788489019</c:v>
                </c:pt>
                <c:pt idx="163">
                  <c:v>206200.60782666493</c:v>
                </c:pt>
                <c:pt idx="164">
                  <c:v>205735.55584300295</c:v>
                </c:pt>
                <c:pt idx="165">
                  <c:v>205267.01596946351</c:v>
                </c:pt>
                <c:pt idx="166">
                  <c:v>204794.96204687253</c:v>
                </c:pt>
                <c:pt idx="167">
                  <c:v>204319.36771986212</c:v>
                </c:pt>
                <c:pt idx="168">
                  <c:v>203840.20643539913</c:v>
                </c:pt>
                <c:pt idx="169">
                  <c:v>203357.45144130266</c:v>
                </c:pt>
                <c:pt idx="170">
                  <c:v>202871.07578475049</c:v>
                </c:pt>
                <c:pt idx="171">
                  <c:v>202381.05231077416</c:v>
                </c:pt>
                <c:pt idx="172">
                  <c:v>201887.35366074301</c:v>
                </c:pt>
                <c:pt idx="173">
                  <c:v>201389.95227083663</c:v>
                </c:pt>
                <c:pt idx="174">
                  <c:v>200888.82037050594</c:v>
                </c:pt>
                <c:pt idx="175">
                  <c:v>200383.92998092278</c:v>
                </c:pt>
                <c:pt idx="176">
                  <c:v>199875.25291341776</c:v>
                </c:pt>
                <c:pt idx="177">
                  <c:v>199362.76076790644</c:v>
                </c:pt>
                <c:pt idx="178">
                  <c:v>198846.42493130377</c:v>
                </c:pt>
                <c:pt idx="179">
                  <c:v>198326.21657592661</c:v>
                </c:pt>
                <c:pt idx="180">
                  <c:v>197802.10665788411</c:v>
                </c:pt>
                <c:pt idx="181">
                  <c:v>197274.06591545627</c:v>
                </c:pt>
                <c:pt idx="182">
                  <c:v>196742.06486746023</c:v>
                </c:pt>
                <c:pt idx="183">
                  <c:v>196206.07381160423</c:v>
                </c:pt>
                <c:pt idx="184">
                  <c:v>195666.06282282932</c:v>
                </c:pt>
                <c:pt idx="185">
                  <c:v>195122.0017516386</c:v>
                </c:pt>
                <c:pt idx="186">
                  <c:v>194573.86022241393</c:v>
                </c:pt>
                <c:pt idx="187">
                  <c:v>194021.60763172008</c:v>
                </c:pt>
                <c:pt idx="188">
                  <c:v>193465.21314659601</c:v>
                </c:pt>
                <c:pt idx="189">
                  <c:v>192904.64570283351</c:v>
                </c:pt>
                <c:pt idx="190">
                  <c:v>192339.87400324282</c:v>
                </c:pt>
                <c:pt idx="191">
                  <c:v>191770.86651590519</c:v>
                </c:pt>
                <c:pt idx="192">
                  <c:v>191197.59147241252</c:v>
                </c:pt>
                <c:pt idx="193">
                  <c:v>190620.01686609365</c:v>
                </c:pt>
                <c:pt idx="194">
                  <c:v>190038.1104502274</c:v>
                </c:pt>
                <c:pt idx="195">
                  <c:v>189451.83973624214</c:v>
                </c:pt>
                <c:pt idx="196">
                  <c:v>188861.171991902</c:v>
                </c:pt>
                <c:pt idx="197">
                  <c:v>188266.07423947932</c:v>
                </c:pt>
                <c:pt idx="198">
                  <c:v>187666.51325391346</c:v>
                </c:pt>
                <c:pt idx="199">
                  <c:v>187062.45556095586</c:v>
                </c:pt>
                <c:pt idx="200">
                  <c:v>186453.86743530107</c:v>
                </c:pt>
                <c:pt idx="201">
                  <c:v>185840.71489870388</c:v>
                </c:pt>
                <c:pt idx="202">
                  <c:v>185222.9637180822</c:v>
                </c:pt>
                <c:pt idx="203">
                  <c:v>184600.57940360587</c:v>
                </c:pt>
                <c:pt idx="204">
                  <c:v>183973.52720677096</c:v>
                </c:pt>
                <c:pt idx="205">
                  <c:v>183341.77211845978</c:v>
                </c:pt>
                <c:pt idx="206">
                  <c:v>182705.27886698628</c:v>
                </c:pt>
                <c:pt idx="207">
                  <c:v>182064.01191612671</c:v>
                </c:pt>
                <c:pt idx="208">
                  <c:v>181417.93546313571</c:v>
                </c:pt>
                <c:pt idx="209">
                  <c:v>180767.01343674728</c:v>
                </c:pt>
                <c:pt idx="210">
                  <c:v>180111.20949516093</c:v>
                </c:pt>
                <c:pt idx="211">
                  <c:v>179450.48702401269</c:v>
                </c:pt>
                <c:pt idx="212">
                  <c:v>178784.80913433083</c:v>
                </c:pt>
                <c:pt idx="213">
                  <c:v>178114.13866047637</c:v>
                </c:pt>
                <c:pt idx="214">
                  <c:v>177438.43815806799</c:v>
                </c:pt>
                <c:pt idx="215">
                  <c:v>176757.66990189155</c:v>
                </c:pt>
                <c:pt idx="216">
                  <c:v>176071.79588379379</c:v>
                </c:pt>
                <c:pt idx="217">
                  <c:v>175380.77781056028</c:v>
                </c:pt>
                <c:pt idx="218">
                  <c:v>174684.57710177751</c:v>
                </c:pt>
                <c:pt idx="219">
                  <c:v>173983.15488767889</c:v>
                </c:pt>
                <c:pt idx="220">
                  <c:v>173276.47200697454</c:v>
                </c:pt>
                <c:pt idx="221">
                  <c:v>172564.48900466488</c:v>
                </c:pt>
                <c:pt idx="222">
                  <c:v>171847.16612983792</c:v>
                </c:pt>
                <c:pt idx="223">
                  <c:v>171124.46333344973</c:v>
                </c:pt>
                <c:pt idx="224">
                  <c:v>170396.34026608866</c:v>
                </c:pt>
                <c:pt idx="225">
                  <c:v>169662.75627572238</c:v>
                </c:pt>
                <c:pt idx="226">
                  <c:v>168923.67040542833</c:v>
                </c:pt>
                <c:pt idx="227">
                  <c:v>168179.04139110708</c:v>
                </c:pt>
                <c:pt idx="228">
                  <c:v>167428.82765917844</c:v>
                </c:pt>
                <c:pt idx="229">
                  <c:v>166672.98732426032</c:v>
                </c:pt>
                <c:pt idx="230">
                  <c:v>165911.47818683033</c:v>
                </c:pt>
                <c:pt idx="231">
                  <c:v>165144.25773086961</c:v>
                </c:pt>
                <c:pt idx="232">
                  <c:v>164371.28312148916</c:v>
                </c:pt>
                <c:pt idx="233">
                  <c:v>163592.51120253839</c:v>
                </c:pt>
                <c:pt idx="234">
                  <c:v>162807.89849419545</c:v>
                </c:pt>
                <c:pt idx="235">
                  <c:v>162017.40119053997</c:v>
                </c:pt>
                <c:pt idx="236">
                  <c:v>161220.97515710705</c:v>
                </c:pt>
                <c:pt idx="237">
                  <c:v>160418.57592842341</c:v>
                </c:pt>
                <c:pt idx="238">
                  <c:v>159610.15870552463</c:v>
                </c:pt>
                <c:pt idx="239">
                  <c:v>158795.6783534541</c:v>
                </c:pt>
                <c:pt idx="240">
                  <c:v>157975.08939874306</c:v>
                </c:pt>
                <c:pt idx="241">
                  <c:v>157148.34602687167</c:v>
                </c:pt>
                <c:pt idx="242">
                  <c:v>156315.40207971126</c:v>
                </c:pt>
                <c:pt idx="243">
                  <c:v>155476.21105294715</c:v>
                </c:pt>
                <c:pt idx="244">
                  <c:v>154630.72609348231</c:v>
                </c:pt>
                <c:pt idx="245">
                  <c:v>153778.89999682148</c:v>
                </c:pt>
                <c:pt idx="246">
                  <c:v>152920.68520443569</c:v>
                </c:pt>
                <c:pt idx="247">
                  <c:v>152056.033801107</c:v>
                </c:pt>
                <c:pt idx="248">
                  <c:v>151184.89751225334</c:v>
                </c:pt>
                <c:pt idx="249">
                  <c:v>150307.22770123329</c:v>
                </c:pt>
                <c:pt idx="250">
                  <c:v>149422.97536663059</c:v>
                </c:pt>
                <c:pt idx="251">
                  <c:v>148532.09113951836</c:v>
                </c:pt>
                <c:pt idx="252">
                  <c:v>147634.5252807028</c:v>
                </c:pt>
                <c:pt idx="253">
                  <c:v>146730.22767794612</c:v>
                </c:pt>
                <c:pt idx="254">
                  <c:v>145819.14784316876</c:v>
                </c:pt>
                <c:pt idx="255">
                  <c:v>144901.23490963056</c:v>
                </c:pt>
                <c:pt idx="256">
                  <c:v>143976.43762909083</c:v>
                </c:pt>
                <c:pt idx="257">
                  <c:v>143044.70436894704</c:v>
                </c:pt>
                <c:pt idx="258">
                  <c:v>142105.98310935218</c:v>
                </c:pt>
                <c:pt idx="259">
                  <c:v>141160.22144031036</c:v>
                </c:pt>
                <c:pt idx="260">
                  <c:v>140207.36655875074</c:v>
                </c:pt>
                <c:pt idx="261">
                  <c:v>139247.36526557943</c:v>
                </c:pt>
                <c:pt idx="262">
                  <c:v>138280.16396270931</c:v>
                </c:pt>
                <c:pt idx="263">
                  <c:v>137305.70865006768</c:v>
                </c:pt>
                <c:pt idx="264">
                  <c:v>136323.94492258123</c:v>
                </c:pt>
                <c:pt idx="265">
                  <c:v>135334.81796713863</c:v>
                </c:pt>
                <c:pt idx="266">
                  <c:v>134338.27255953022</c:v>
                </c:pt>
                <c:pt idx="267">
                  <c:v>133334.25306136472</c:v>
                </c:pt>
                <c:pt idx="268">
                  <c:v>132322.70341696299</c:v>
                </c:pt>
                <c:pt idx="269">
                  <c:v>131303.56715022825</c:v>
                </c:pt>
                <c:pt idx="270">
                  <c:v>130276.787361493</c:v>
                </c:pt>
                <c:pt idx="271">
                  <c:v>129242.30672434224</c:v>
                </c:pt>
                <c:pt idx="272">
                  <c:v>128200.06748241285</c:v>
                </c:pt>
                <c:pt idx="273">
                  <c:v>127150.011446169</c:v>
                </c:pt>
                <c:pt idx="274">
                  <c:v>126092.07998965331</c:v>
                </c:pt>
                <c:pt idx="275">
                  <c:v>125026.21404721375</c:v>
                </c:pt>
                <c:pt idx="276">
                  <c:v>123952.3541102059</c:v>
                </c:pt>
                <c:pt idx="277">
                  <c:v>122870.44022367048</c:v>
                </c:pt>
                <c:pt idx="278">
                  <c:v>121780.41198298606</c:v>
                </c:pt>
                <c:pt idx="279">
                  <c:v>120682.2085304965</c:v>
                </c:pt>
                <c:pt idx="280">
                  <c:v>119575.76855211327</c:v>
                </c:pt>
                <c:pt idx="281">
                  <c:v>118461.03027389216</c:v>
                </c:pt>
                <c:pt idx="282">
                  <c:v>117337.9314585844</c:v>
                </c:pt>
                <c:pt idx="283">
                  <c:v>116206.40940216182</c:v>
                </c:pt>
                <c:pt idx="284">
                  <c:v>115066.40093031609</c:v>
                </c:pt>
                <c:pt idx="285">
                  <c:v>113917.8423949315</c:v>
                </c:pt>
                <c:pt idx="286">
                  <c:v>112760.66967053154</c:v>
                </c:pt>
                <c:pt idx="287">
                  <c:v>111594.81815069857</c:v>
                </c:pt>
                <c:pt idx="288">
                  <c:v>110420.22274446685</c:v>
                </c:pt>
                <c:pt idx="289">
                  <c:v>109236.81787268839</c:v>
                </c:pt>
                <c:pt idx="290">
                  <c:v>108044.53746437161</c:v>
                </c:pt>
                <c:pt idx="291">
                  <c:v>106843.31495299244</c:v>
                </c:pt>
                <c:pt idx="292">
                  <c:v>105633.08327277793</c:v>
                </c:pt>
                <c:pt idx="293">
                  <c:v>104413.77485496181</c:v>
                </c:pt>
                <c:pt idx="294">
                  <c:v>103185.32162401207</c:v>
                </c:pt>
                <c:pt idx="295">
                  <c:v>101947.65499383021</c:v>
                </c:pt>
                <c:pt idx="296">
                  <c:v>100700.70586392198</c:v>
                </c:pt>
                <c:pt idx="297">
                  <c:v>99444.404615539432</c:v>
                </c:pt>
                <c:pt idx="298">
                  <c:v>98178.681107794022</c:v>
                </c:pt>
                <c:pt idx="299">
                  <c:v>96903.464673740527</c:v>
                </c:pt>
                <c:pt idx="300">
                  <c:v>95618.684116431628</c:v>
                </c:pt>
                <c:pt idx="301">
                  <c:v>94324.267704942904</c:v>
                </c:pt>
                <c:pt idx="302">
                  <c:v>93020.143170368014</c:v>
                </c:pt>
                <c:pt idx="303">
                  <c:v>91706.237701783815</c:v>
                </c:pt>
                <c:pt idx="304">
                  <c:v>90382.477942185244</c:v>
                </c:pt>
                <c:pt idx="305">
                  <c:v>89048.789984389674</c:v>
                </c:pt>
                <c:pt idx="306">
                  <c:v>87705.099366910639</c:v>
                </c:pt>
                <c:pt idx="307">
                  <c:v>86351.331069800508</c:v>
                </c:pt>
                <c:pt idx="308">
                  <c:v>84987.40951046205</c:v>
                </c:pt>
                <c:pt idx="309">
                  <c:v>83613.258539428556</c:v>
                </c:pt>
                <c:pt idx="310">
                  <c:v>82228.801436112321</c:v>
                </c:pt>
                <c:pt idx="311">
                  <c:v>80833.960904521213</c:v>
                </c:pt>
                <c:pt idx="312">
                  <c:v>79428.659068943161</c:v>
                </c:pt>
                <c:pt idx="313">
                  <c:v>78012.817469598274</c:v>
                </c:pt>
                <c:pt idx="314">
                  <c:v>76586.357058258305</c:v>
                </c:pt>
                <c:pt idx="315">
                  <c:v>75149.19819383329</c:v>
                </c:pt>
                <c:pt idx="316">
                  <c:v>73701.260637925079</c:v>
                </c:pt>
                <c:pt idx="317">
                  <c:v>72242.463550347558</c:v>
                </c:pt>
                <c:pt idx="318">
                  <c:v>70772.725484613213</c:v>
                </c:pt>
                <c:pt idx="319">
                  <c:v>69291.964383385857</c:v>
                </c:pt>
                <c:pt idx="320">
                  <c:v>67800.0975738993</c:v>
                </c:pt>
                <c:pt idx="321">
                  <c:v>66297.041763341593</c:v>
                </c:pt>
                <c:pt idx="322">
                  <c:v>64782.713034204702</c:v>
                </c:pt>
                <c:pt idx="323">
                  <c:v>63257.026839599283</c:v>
                </c:pt>
                <c:pt idx="324">
                  <c:v>61719.897998534325</c:v>
                </c:pt>
                <c:pt idx="325">
                  <c:v>60171.24069116138</c:v>
                </c:pt>
                <c:pt idx="326">
                  <c:v>58610.968453983136</c:v>
                </c:pt>
                <c:pt idx="327">
                  <c:v>57038.994175026055</c:v>
                </c:pt>
                <c:pt idx="328">
                  <c:v>55455.230088976794</c:v>
                </c:pt>
                <c:pt idx="329">
                  <c:v>53859.587772282168</c:v>
                </c:pt>
                <c:pt idx="330">
                  <c:v>52251.978138212333</c:v>
                </c:pt>
                <c:pt idx="331">
                  <c:v>50632.31143188697</c:v>
                </c:pt>
                <c:pt idx="332">
                  <c:v>49000.497225264167</c:v>
                </c:pt>
                <c:pt idx="333">
                  <c:v>47356.444412091696</c:v>
                </c:pt>
                <c:pt idx="334">
                  <c:v>45700.061202820427</c:v>
                </c:pt>
                <c:pt idx="335">
                  <c:v>44031.255119479625</c:v>
                </c:pt>
                <c:pt idx="336">
                  <c:v>42349.932990513771</c:v>
                </c:pt>
                <c:pt idx="337">
                  <c:v>40656.000945580672</c:v>
                </c:pt>
                <c:pt idx="338">
                  <c:v>38949.364410310569</c:v>
                </c:pt>
                <c:pt idx="339">
                  <c:v>37229.928101025944</c:v>
                </c:pt>
                <c:pt idx="340">
                  <c:v>35497.596019421682</c:v>
                </c:pt>
                <c:pt idx="341">
                  <c:v>33752.271447205392</c:v>
                </c:pt>
                <c:pt idx="342">
                  <c:v>31993.856940697478</c:v>
                </c:pt>
                <c:pt idx="343">
                  <c:v>30222.254325390753</c:v>
                </c:pt>
                <c:pt idx="344">
                  <c:v>28437.364690469229</c:v>
                </c:pt>
                <c:pt idx="345">
                  <c:v>26639.088383285794</c:v>
                </c:pt>
                <c:pt idx="346">
                  <c:v>24827.325003798484</c:v>
                </c:pt>
                <c:pt idx="347">
                  <c:v>23001.973398965016</c:v>
                </c:pt>
                <c:pt idx="348">
                  <c:v>21162.931657095298</c:v>
                </c:pt>
                <c:pt idx="349">
                  <c:v>19310.097102161559</c:v>
                </c:pt>
                <c:pt idx="350">
                  <c:v>17443.366288065816</c:v>
                </c:pt>
                <c:pt idx="351">
                  <c:v>15562.634992864354</c:v>
                </c:pt>
                <c:pt idx="352">
                  <c:v>13667.798212948881</c:v>
                </c:pt>
                <c:pt idx="353">
                  <c:v>11758.750157184042</c:v>
                </c:pt>
                <c:pt idx="354">
                  <c:v>9835.3842410009674</c:v>
                </c:pt>
                <c:pt idx="355">
                  <c:v>7897.5930804465197</c:v>
                </c:pt>
                <c:pt idx="356">
                  <c:v>5945.2684861879134</c:v>
                </c:pt>
                <c:pt idx="357">
                  <c:v>3978.3014574723675</c:v>
                </c:pt>
                <c:pt idx="358">
                  <c:v>1996.5821760414551</c:v>
                </c:pt>
                <c:pt idx="359">
                  <c:v>-1.8917489796876907E-10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5B-4FB7-AEEF-9655166EC3C8}"/>
            </c:ext>
          </c:extLst>
        </c:ser>
        <c:ser>
          <c:idx val="2"/>
          <c:order val="2"/>
          <c:tx>
            <c:strRef>
              <c:f>'Mortgage - example'!$G$26</c:f>
              <c:strCache>
                <c:ptCount val="1"/>
                <c:pt idx="0">
                  <c:v> Redraw </c:v>
                </c:pt>
              </c:strCache>
            </c:strRef>
          </c:tx>
          <c:marker>
            <c:symbol val="none"/>
          </c:marker>
          <c:val>
            <c:numRef>
              <c:f>'Mortgage - example'!$G$31:$G$390</c:f>
              <c:numCache>
                <c:formatCode>_-\$* #,##0.00_-;"-$"* #,##0.00_-;_-\$* \-??_-;_-@_-</c:formatCode>
                <c:ptCount val="360"/>
                <c:pt idx="0">
                  <c:v>650</c:v>
                </c:pt>
                <c:pt idx="1">
                  <c:v>1700</c:v>
                </c:pt>
                <c:pt idx="2">
                  <c:v>1959.68</c:v>
                </c:pt>
                <c:pt idx="3">
                  <c:v>2502.83</c:v>
                </c:pt>
                <c:pt idx="4">
                  <c:v>2694.83</c:v>
                </c:pt>
                <c:pt idx="5">
                  <c:v>2914.83</c:v>
                </c:pt>
                <c:pt idx="6">
                  <c:v>3549.6</c:v>
                </c:pt>
                <c:pt idx="7">
                  <c:v>3728.75</c:v>
                </c:pt>
                <c:pt idx="8">
                  <c:v>4136.54</c:v>
                </c:pt>
                <c:pt idx="9">
                  <c:v>4836.54</c:v>
                </c:pt>
                <c:pt idx="10">
                  <c:v>5236.54</c:v>
                </c:pt>
                <c:pt idx="11">
                  <c:v>5436.54</c:v>
                </c:pt>
                <c:pt idx="12">
                  <c:v>5636.54</c:v>
                </c:pt>
                <c:pt idx="13">
                  <c:v>5836.54</c:v>
                </c:pt>
                <c:pt idx="14">
                  <c:v>6136.54</c:v>
                </c:pt>
                <c:pt idx="15">
                  <c:v>7057.45</c:v>
                </c:pt>
                <c:pt idx="16">
                  <c:v>5507.45</c:v>
                </c:pt>
                <c:pt idx="17">
                  <c:v>5557.45</c:v>
                </c:pt>
                <c:pt idx="18">
                  <c:v>5607.45</c:v>
                </c:pt>
                <c:pt idx="19">
                  <c:v>5657.45</c:v>
                </c:pt>
                <c:pt idx="20">
                  <c:v>5707.45</c:v>
                </c:pt>
                <c:pt idx="21">
                  <c:v>5757.45</c:v>
                </c:pt>
                <c:pt idx="22">
                  <c:v>5907.45</c:v>
                </c:pt>
                <c:pt idx="23">
                  <c:v>6157.45</c:v>
                </c:pt>
                <c:pt idx="24">
                  <c:v>6457.45</c:v>
                </c:pt>
                <c:pt idx="25">
                  <c:v>6807.45</c:v>
                </c:pt>
                <c:pt idx="26">
                  <c:v>7107.45</c:v>
                </c:pt>
                <c:pt idx="27">
                  <c:v>7507.45</c:v>
                </c:pt>
                <c:pt idx="28">
                  <c:v>8107.45</c:v>
                </c:pt>
                <c:pt idx="29">
                  <c:v>11107.45</c:v>
                </c:pt>
                <c:pt idx="30">
                  <c:v>11607.45</c:v>
                </c:pt>
                <c:pt idx="31">
                  <c:v>13774.44</c:v>
                </c:pt>
                <c:pt idx="32">
                  <c:v>14317.44</c:v>
                </c:pt>
                <c:pt idx="33">
                  <c:v>16067.44</c:v>
                </c:pt>
                <c:pt idx="34">
                  <c:v>16987.440000000002</c:v>
                </c:pt>
                <c:pt idx="35">
                  <c:v>18493.440000000002</c:v>
                </c:pt>
                <c:pt idx="36">
                  <c:v>20043.440000000002</c:v>
                </c:pt>
                <c:pt idx="37">
                  <c:v>20143.440000000002</c:v>
                </c:pt>
                <c:pt idx="38">
                  <c:v>20303.440000000002</c:v>
                </c:pt>
                <c:pt idx="39">
                  <c:v>21673.440000000002</c:v>
                </c:pt>
                <c:pt idx="40">
                  <c:v>22943.440000000002</c:v>
                </c:pt>
                <c:pt idx="41">
                  <c:v>23127.440000000002</c:v>
                </c:pt>
                <c:pt idx="42">
                  <c:v>23612.440000000002</c:v>
                </c:pt>
                <c:pt idx="43">
                  <c:v>24366.590000000004</c:v>
                </c:pt>
                <c:pt idx="44">
                  <c:v>24835.900000000005</c:v>
                </c:pt>
                <c:pt idx="45">
                  <c:v>24985.900000000005</c:v>
                </c:pt>
                <c:pt idx="46">
                  <c:v>21235.900000000005</c:v>
                </c:pt>
                <c:pt idx="47">
                  <c:v>23933.400000000005</c:v>
                </c:pt>
                <c:pt idx="48">
                  <c:v>24733.900000000005</c:v>
                </c:pt>
                <c:pt idx="49">
                  <c:v>25934.900000000005</c:v>
                </c:pt>
                <c:pt idx="50">
                  <c:v>32584.900000000005</c:v>
                </c:pt>
                <c:pt idx="51">
                  <c:v>40282.200000000004</c:v>
                </c:pt>
                <c:pt idx="52">
                  <c:v>35832.200000000004</c:v>
                </c:pt>
                <c:pt idx="53">
                  <c:v>35482.200000000004</c:v>
                </c:pt>
                <c:pt idx="54">
                  <c:v>36736.350000000006</c:v>
                </c:pt>
                <c:pt idx="55">
                  <c:v>36317.600000000006</c:v>
                </c:pt>
                <c:pt idx="56">
                  <c:v>36618.600000000006</c:v>
                </c:pt>
                <c:pt idx="57">
                  <c:v>33985.750000000007</c:v>
                </c:pt>
                <c:pt idx="58">
                  <c:v>32067.000000000007</c:v>
                </c:pt>
                <c:pt idx="59">
                  <c:v>31818.000000000007</c:v>
                </c:pt>
                <c:pt idx="60">
                  <c:v>31568.000000000007</c:v>
                </c:pt>
                <c:pt idx="61">
                  <c:v>32171.520000000008</c:v>
                </c:pt>
                <c:pt idx="62">
                  <c:v>84587.91</c:v>
                </c:pt>
                <c:pt idx="63">
                  <c:v>86852.11</c:v>
                </c:pt>
                <c:pt idx="64">
                  <c:v>87864.49</c:v>
                </c:pt>
                <c:pt idx="65">
                  <c:v>89024.8</c:v>
                </c:pt>
                <c:pt idx="66">
                  <c:v>89565.12000000001</c:v>
                </c:pt>
                <c:pt idx="67">
                  <c:v>88925.12000000001</c:v>
                </c:pt>
                <c:pt idx="68">
                  <c:v>89300.43</c:v>
                </c:pt>
                <c:pt idx="69">
                  <c:v>91672.46</c:v>
                </c:pt>
                <c:pt idx="70">
                  <c:v>91672.46</c:v>
                </c:pt>
                <c:pt idx="71">
                  <c:v>92236.26</c:v>
                </c:pt>
                <c:pt idx="72">
                  <c:v>90976.53</c:v>
                </c:pt>
                <c:pt idx="73">
                  <c:v>85977.26</c:v>
                </c:pt>
                <c:pt idx="74">
                  <c:v>85977.26</c:v>
                </c:pt>
                <c:pt idx="75">
                  <c:v>85785.23</c:v>
                </c:pt>
                <c:pt idx="76">
                  <c:v>94574.81</c:v>
                </c:pt>
                <c:pt idx="77">
                  <c:v>86252.26</c:v>
                </c:pt>
                <c:pt idx="78">
                  <c:v>86507.06</c:v>
                </c:pt>
                <c:pt idx="79">
                  <c:v>84842.06</c:v>
                </c:pt>
                <c:pt idx="80">
                  <c:v>84842.06</c:v>
                </c:pt>
                <c:pt idx="81">
                  <c:v>84842.06</c:v>
                </c:pt>
                <c:pt idx="82">
                  <c:v>84842.06</c:v>
                </c:pt>
                <c:pt idx="83">
                  <c:v>84842.06</c:v>
                </c:pt>
                <c:pt idx="84">
                  <c:v>85057.77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5B-4FB7-AEEF-9655166EC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46056"/>
        <c:axId val="481248016"/>
      </c:lineChart>
      <c:dateAx>
        <c:axId val="4812460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48016"/>
        <c:crossesAt val="0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81248016"/>
        <c:scaling>
          <c:orientation val="minMax"/>
          <c:max val="250000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numFmt formatCode="_-\$* #,##0.00_-;&quot;-$&quot;* #,##0.00_-;_-\$* \-??_-;_-@_-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12460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0699" r="0.75000000000000699" t="1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0</xdr:rowOff>
    </xdr:from>
    <xdr:to>
      <xdr:col>24</xdr:col>
      <xdr:colOff>547688</xdr:colOff>
      <xdr:row>24</xdr:row>
      <xdr:rowOff>28575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F99E655-EC95-430D-BBFF-E861BB408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152400</xdr:rowOff>
    </xdr:from>
    <xdr:to>
      <xdr:col>6</xdr:col>
      <xdr:colOff>1214437</xdr:colOff>
      <xdr:row>24</xdr:row>
      <xdr:rowOff>202407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BA938574-AF86-430D-A76A-4803BB322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0</xdr:rowOff>
    </xdr:from>
    <xdr:to>
      <xdr:col>24</xdr:col>
      <xdr:colOff>547688</xdr:colOff>
      <xdr:row>24</xdr:row>
      <xdr:rowOff>28575</xdr:rowOff>
    </xdr:to>
    <xdr:graphicFrame macro="">
      <xdr:nvGraphicFramePr>
        <xdr:cNvPr id="3252" name="Chart 5">
          <a:extLs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152400</xdr:rowOff>
    </xdr:from>
    <xdr:to>
      <xdr:col>6</xdr:col>
      <xdr:colOff>1214437</xdr:colOff>
      <xdr:row>24</xdr:row>
      <xdr:rowOff>202407</xdr:rowOff>
    </xdr:to>
    <xdr:graphicFrame macro="">
      <xdr:nvGraphicFramePr>
        <xdr:cNvPr id="3253" name="Chart 6">
          <a:extLs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361"/>
  <sheetViews>
    <sheetView zoomScaleNormal="100" workbookViewId="0">
      <pane ySplit="1" topLeftCell="A2" activePane="bottomLeft" state="frozen"/>
      <selection pane="bottomLeft" activeCell="A7" sqref="A7"/>
    </sheetView>
  </sheetViews>
  <sheetFormatPr defaultRowHeight="15" x14ac:dyDescent="0.25"/>
  <cols>
    <col min="1" max="1" width="12.7109375" bestFit="1" customWidth="1"/>
    <col min="2" max="2" width="4.85546875" customWidth="1"/>
    <col min="3" max="3" width="10.28515625" bestFit="1" customWidth="1"/>
    <col min="4" max="4" width="10.7109375" customWidth="1"/>
    <col min="5" max="5" width="17.85546875" customWidth="1"/>
    <col min="6" max="6" width="15.5703125" customWidth="1"/>
    <col min="7" max="7" width="23.42578125" customWidth="1"/>
    <col min="8" max="8" width="12.42578125" style="56" bestFit="1" customWidth="1"/>
    <col min="11" max="11" width="17.7109375" hidden="1" customWidth="1"/>
  </cols>
  <sheetData>
    <row r="1" spans="1:11" s="47" customFormat="1" ht="15.75" thickBot="1" x14ac:dyDescent="0.3">
      <c r="A1" s="48"/>
      <c r="C1" s="47" t="s">
        <v>23</v>
      </c>
      <c r="D1" s="47" t="s">
        <v>24</v>
      </c>
      <c r="E1" s="47" t="s">
        <v>25</v>
      </c>
      <c r="F1" s="47" t="s">
        <v>33</v>
      </c>
      <c r="G1" s="47" t="s">
        <v>26</v>
      </c>
      <c r="H1" s="55" t="s">
        <v>27</v>
      </c>
    </row>
    <row r="2" spans="1:11" x14ac:dyDescent="0.25">
      <c r="A2" s="54" t="s">
        <v>28</v>
      </c>
      <c r="C2">
        <v>1</v>
      </c>
      <c r="D2" s="24">
        <f>A12</f>
        <v>39600</v>
      </c>
      <c r="E2" s="25">
        <f>PPMT($A$9/12,C2,$A$6,$A$3)</f>
        <v>-136.55654236195676</v>
      </c>
      <c r="F2" s="25">
        <f>$A$15-E2</f>
        <v>-1874.9999999999995</v>
      </c>
      <c r="G2" s="25">
        <f>$A$3+E2</f>
        <v>249863.44345763803</v>
      </c>
      <c r="H2" s="56">
        <f>G2/$A$3</f>
        <v>0.99945377383055212</v>
      </c>
      <c r="K2" s="25">
        <f>G2+E2</f>
        <v>249726.88691527606</v>
      </c>
    </row>
    <row r="3" spans="1:11" x14ac:dyDescent="0.25">
      <c r="A3" s="50">
        <v>250000</v>
      </c>
      <c r="B3" s="25"/>
      <c r="C3">
        <f>C2+1</f>
        <v>2</v>
      </c>
      <c r="D3" s="24">
        <f>EDATE(D2,1)</f>
        <v>39630</v>
      </c>
      <c r="E3" s="25">
        <f t="shared" ref="E3:E66" si="0">PPMT($A$9/12,C3,$A$6,$A$3)</f>
        <v>-137.5807164296715</v>
      </c>
      <c r="F3" s="25">
        <f t="shared" ref="F3:F66" si="1">$A$15-E3</f>
        <v>-1873.9758259322848</v>
      </c>
      <c r="G3" s="25">
        <f>G2+E3</f>
        <v>249725.86274120834</v>
      </c>
      <c r="H3" s="56">
        <f t="shared" ref="H3:H66" si="2">G3/$A$3</f>
        <v>0.99890345096483335</v>
      </c>
    </row>
    <row r="4" spans="1:11" x14ac:dyDescent="0.25">
      <c r="A4" s="49"/>
      <c r="C4">
        <f t="shared" ref="C4:C67" si="3">C3+1</f>
        <v>3</v>
      </c>
      <c r="D4" s="24">
        <f t="shared" ref="D4:D67" si="4">EDATE(D3,1)</f>
        <v>39661</v>
      </c>
      <c r="E4" s="25">
        <f t="shared" si="0"/>
        <v>-138.612571802894</v>
      </c>
      <c r="F4" s="25">
        <f t="shared" si="1"/>
        <v>-1872.9439705590623</v>
      </c>
      <c r="G4" s="25">
        <f t="shared" ref="G4:G67" si="5">G3+E4</f>
        <v>249587.25016940545</v>
      </c>
      <c r="H4" s="56">
        <f t="shared" si="2"/>
        <v>0.99834900067762178</v>
      </c>
    </row>
    <row r="5" spans="1:11" x14ac:dyDescent="0.25">
      <c r="A5" s="54" t="s">
        <v>29</v>
      </c>
      <c r="C5">
        <f t="shared" si="3"/>
        <v>4</v>
      </c>
      <c r="D5" s="24">
        <f t="shared" si="4"/>
        <v>39692</v>
      </c>
      <c r="E5" s="25">
        <f t="shared" si="0"/>
        <v>-139.65216609141569</v>
      </c>
      <c r="F5" s="25">
        <f t="shared" si="1"/>
        <v>-1871.9043762705408</v>
      </c>
      <c r="G5" s="25">
        <f t="shared" si="5"/>
        <v>249447.59800331402</v>
      </c>
      <c r="H5" s="56">
        <f t="shared" si="2"/>
        <v>0.99779039201325603</v>
      </c>
    </row>
    <row r="6" spans="1:11" x14ac:dyDescent="0.25">
      <c r="A6" s="49">
        <v>360</v>
      </c>
      <c r="C6">
        <f t="shared" si="3"/>
        <v>5</v>
      </c>
      <c r="D6" s="24">
        <f t="shared" si="4"/>
        <v>39722</v>
      </c>
      <c r="E6" s="25">
        <f t="shared" si="0"/>
        <v>-140.69955733710131</v>
      </c>
      <c r="F6" s="25">
        <f t="shared" si="1"/>
        <v>-1870.856985024855</v>
      </c>
      <c r="G6" s="25">
        <f t="shared" si="5"/>
        <v>249306.89844597693</v>
      </c>
      <c r="H6" s="56">
        <f t="shared" si="2"/>
        <v>0.99722759378390768</v>
      </c>
    </row>
    <row r="7" spans="1:11" x14ac:dyDescent="0.25">
      <c r="A7" s="49"/>
      <c r="C7">
        <f t="shared" si="3"/>
        <v>6</v>
      </c>
      <c r="D7" s="24">
        <f t="shared" si="4"/>
        <v>39753</v>
      </c>
      <c r="E7" s="25">
        <f t="shared" si="0"/>
        <v>-141.7548040171296</v>
      </c>
      <c r="F7" s="25">
        <f t="shared" si="1"/>
        <v>-1869.8017383448268</v>
      </c>
      <c r="G7" s="25">
        <f t="shared" si="5"/>
        <v>249165.14364195979</v>
      </c>
      <c r="H7" s="56">
        <f t="shared" si="2"/>
        <v>0.99666057456783919</v>
      </c>
    </row>
    <row r="8" spans="1:11" x14ac:dyDescent="0.25">
      <c r="A8" s="54" t="s">
        <v>30</v>
      </c>
      <c r="C8">
        <f t="shared" si="3"/>
        <v>7</v>
      </c>
      <c r="D8" s="24">
        <f t="shared" si="4"/>
        <v>39783</v>
      </c>
      <c r="E8" s="25">
        <f t="shared" si="0"/>
        <v>-142.81796504725801</v>
      </c>
      <c r="F8" s="25">
        <f t="shared" si="1"/>
        <v>-1868.7385773146984</v>
      </c>
      <c r="G8" s="25">
        <f t="shared" si="5"/>
        <v>249022.32567691253</v>
      </c>
      <c r="H8" s="56">
        <f t="shared" si="2"/>
        <v>0.99608930270765017</v>
      </c>
    </row>
    <row r="9" spans="1:11" x14ac:dyDescent="0.25">
      <c r="A9" s="51">
        <v>0.09</v>
      </c>
      <c r="C9">
        <f t="shared" si="3"/>
        <v>8</v>
      </c>
      <c r="D9" s="24">
        <f t="shared" si="4"/>
        <v>39814</v>
      </c>
      <c r="E9" s="25">
        <f t="shared" si="0"/>
        <v>-143.88909978511245</v>
      </c>
      <c r="F9" s="25">
        <f t="shared" si="1"/>
        <v>-1867.667442576844</v>
      </c>
      <c r="G9" s="25">
        <f t="shared" si="5"/>
        <v>248878.4365771274</v>
      </c>
      <c r="H9" s="56">
        <f t="shared" si="2"/>
        <v>0.99551374630850964</v>
      </c>
    </row>
    <row r="10" spans="1:11" x14ac:dyDescent="0.25">
      <c r="A10" s="49"/>
      <c r="C10">
        <f t="shared" si="3"/>
        <v>9</v>
      </c>
      <c r="D10" s="24">
        <f t="shared" si="4"/>
        <v>39845</v>
      </c>
      <c r="E10" s="25">
        <f t="shared" si="0"/>
        <v>-144.96826803350086</v>
      </c>
      <c r="F10" s="25">
        <f t="shared" si="1"/>
        <v>-1866.5882743284556</v>
      </c>
      <c r="G10" s="25">
        <f t="shared" si="5"/>
        <v>248733.46830909391</v>
      </c>
      <c r="H10" s="56">
        <f t="shared" si="2"/>
        <v>0.99493387323637561</v>
      </c>
    </row>
    <row r="11" spans="1:11" x14ac:dyDescent="0.25">
      <c r="A11" s="54" t="s">
        <v>31</v>
      </c>
      <c r="C11">
        <f t="shared" si="3"/>
        <v>10</v>
      </c>
      <c r="D11" s="24">
        <f t="shared" si="4"/>
        <v>39873</v>
      </c>
      <c r="E11" s="25">
        <f t="shared" si="0"/>
        <v>-146.05553004375204</v>
      </c>
      <c r="F11" s="25">
        <f t="shared" si="1"/>
        <v>-1865.5010123182044</v>
      </c>
      <c r="G11" s="25">
        <f t="shared" si="5"/>
        <v>248587.41277905015</v>
      </c>
      <c r="H11" s="56">
        <f t="shared" si="2"/>
        <v>0.99434965111620066</v>
      </c>
    </row>
    <row r="12" spans="1:11" x14ac:dyDescent="0.25">
      <c r="A12" s="52">
        <v>39600</v>
      </c>
      <c r="C12">
        <f t="shared" si="3"/>
        <v>11</v>
      </c>
      <c r="D12" s="24">
        <f t="shared" si="4"/>
        <v>39904</v>
      </c>
      <c r="E12" s="25">
        <f t="shared" si="0"/>
        <v>-147.15094651908018</v>
      </c>
      <c r="F12" s="25">
        <f t="shared" si="1"/>
        <v>-1864.4055958428762</v>
      </c>
      <c r="G12" s="25">
        <f t="shared" si="5"/>
        <v>248440.26183253108</v>
      </c>
      <c r="H12" s="56">
        <f t="shared" si="2"/>
        <v>0.99376104733012427</v>
      </c>
    </row>
    <row r="13" spans="1:11" x14ac:dyDescent="0.25">
      <c r="A13" s="49"/>
      <c r="C13">
        <f t="shared" si="3"/>
        <v>12</v>
      </c>
      <c r="D13" s="24">
        <f t="shared" si="4"/>
        <v>39934</v>
      </c>
      <c r="E13" s="25">
        <f t="shared" si="0"/>
        <v>-148.25457861797335</v>
      </c>
      <c r="F13" s="25">
        <f t="shared" si="1"/>
        <v>-1863.3019637439832</v>
      </c>
      <c r="G13" s="25">
        <f t="shared" si="5"/>
        <v>248292.00725391309</v>
      </c>
      <c r="H13" s="56">
        <f t="shared" si="2"/>
        <v>0.99316802901565238</v>
      </c>
    </row>
    <row r="14" spans="1:11" x14ac:dyDescent="0.25">
      <c r="A14" s="54" t="s">
        <v>32</v>
      </c>
      <c r="C14">
        <f t="shared" si="3"/>
        <v>13</v>
      </c>
      <c r="D14" s="24">
        <f t="shared" si="4"/>
        <v>39965</v>
      </c>
      <c r="E14" s="25">
        <f t="shared" si="0"/>
        <v>-149.36648795760814</v>
      </c>
      <c r="F14" s="25">
        <f t="shared" si="1"/>
        <v>-1862.1900544043483</v>
      </c>
      <c r="G14" s="25">
        <f t="shared" si="5"/>
        <v>248142.6407659555</v>
      </c>
      <c r="H14" s="56">
        <f t="shared" si="2"/>
        <v>0.99257056306382196</v>
      </c>
    </row>
    <row r="15" spans="1:11" x14ac:dyDescent="0.25">
      <c r="A15" s="53">
        <f>PMT(A9/12,A6,0+A3,0)</f>
        <v>-2011.5565423619564</v>
      </c>
      <c r="C15">
        <f t="shared" si="3"/>
        <v>14</v>
      </c>
      <c r="D15" s="24">
        <f t="shared" si="4"/>
        <v>39995</v>
      </c>
      <c r="E15" s="25">
        <f t="shared" si="0"/>
        <v>-150.48673661729015</v>
      </c>
      <c r="F15" s="25">
        <f t="shared" si="1"/>
        <v>-1861.0698057446662</v>
      </c>
      <c r="G15" s="25">
        <f t="shared" si="5"/>
        <v>247992.15402933821</v>
      </c>
      <c r="H15" s="56">
        <f t="shared" si="2"/>
        <v>0.99196861611735287</v>
      </c>
    </row>
    <row r="16" spans="1:11" x14ac:dyDescent="0.25">
      <c r="C16">
        <f t="shared" si="3"/>
        <v>15</v>
      </c>
      <c r="D16" s="24">
        <f t="shared" si="4"/>
        <v>40026</v>
      </c>
      <c r="E16" s="25">
        <f t="shared" si="0"/>
        <v>-151.61538714191988</v>
      </c>
      <c r="F16" s="25">
        <f t="shared" si="1"/>
        <v>-1859.9411552200365</v>
      </c>
      <c r="G16" s="25">
        <f t="shared" si="5"/>
        <v>247840.5386421963</v>
      </c>
      <c r="H16" s="56">
        <f t="shared" si="2"/>
        <v>0.99136215456878518</v>
      </c>
    </row>
    <row r="17" spans="3:8" x14ac:dyDescent="0.25">
      <c r="C17">
        <f t="shared" si="3"/>
        <v>16</v>
      </c>
      <c r="D17" s="24">
        <f t="shared" si="4"/>
        <v>40057</v>
      </c>
      <c r="E17" s="25">
        <f t="shared" si="0"/>
        <v>-152.75250254548428</v>
      </c>
      <c r="F17" s="25">
        <f t="shared" si="1"/>
        <v>-1858.8040398164721</v>
      </c>
      <c r="G17" s="25">
        <f t="shared" si="5"/>
        <v>247687.78613965082</v>
      </c>
      <c r="H17" s="56">
        <f t="shared" si="2"/>
        <v>0.99075114455860325</v>
      </c>
    </row>
    <row r="18" spans="3:8" x14ac:dyDescent="0.25">
      <c r="C18">
        <f t="shared" si="3"/>
        <v>17</v>
      </c>
      <c r="D18" s="24">
        <f t="shared" si="4"/>
        <v>40087</v>
      </c>
      <c r="E18" s="25">
        <f t="shared" si="0"/>
        <v>-153.89814631457537</v>
      </c>
      <c r="F18" s="25">
        <f t="shared" si="1"/>
        <v>-1857.6583960473811</v>
      </c>
      <c r="G18" s="25">
        <f t="shared" si="5"/>
        <v>247533.88799333625</v>
      </c>
      <c r="H18" s="56">
        <f t="shared" si="2"/>
        <v>0.99013555197334502</v>
      </c>
    </row>
    <row r="19" spans="3:8" x14ac:dyDescent="0.25">
      <c r="C19">
        <f t="shared" si="3"/>
        <v>18</v>
      </c>
      <c r="D19" s="24">
        <f t="shared" si="4"/>
        <v>40118</v>
      </c>
      <c r="E19" s="25">
        <f t="shared" si="0"/>
        <v>-155.0523824119347</v>
      </c>
      <c r="F19" s="25">
        <f t="shared" si="1"/>
        <v>-1856.5041599500216</v>
      </c>
      <c r="G19" s="25">
        <f t="shared" si="5"/>
        <v>247378.83561092432</v>
      </c>
      <c r="H19" s="56">
        <f t="shared" si="2"/>
        <v>0.98951534244369732</v>
      </c>
    </row>
    <row r="20" spans="3:8" x14ac:dyDescent="0.25">
      <c r="C20">
        <f t="shared" si="3"/>
        <v>19</v>
      </c>
      <c r="D20" s="24">
        <f t="shared" si="4"/>
        <v>40148</v>
      </c>
      <c r="E20" s="25">
        <f t="shared" si="0"/>
        <v>-156.21527528002426</v>
      </c>
      <c r="F20" s="25">
        <f t="shared" si="1"/>
        <v>-1855.3412670819321</v>
      </c>
      <c r="G20" s="25">
        <f t="shared" si="5"/>
        <v>247222.62033564429</v>
      </c>
      <c r="H20" s="56">
        <f t="shared" si="2"/>
        <v>0.98889048134257718</v>
      </c>
    </row>
    <row r="21" spans="3:8" x14ac:dyDescent="0.25">
      <c r="C21">
        <f t="shared" si="3"/>
        <v>20</v>
      </c>
      <c r="D21" s="24">
        <f t="shared" si="4"/>
        <v>40179</v>
      </c>
      <c r="E21" s="25">
        <f t="shared" si="0"/>
        <v>-157.38688984462439</v>
      </c>
      <c r="F21" s="25">
        <f t="shared" si="1"/>
        <v>-1854.169652517332</v>
      </c>
      <c r="G21" s="25">
        <f t="shared" si="5"/>
        <v>247065.23344579965</v>
      </c>
      <c r="H21" s="56">
        <f t="shared" si="2"/>
        <v>0.98826093378319857</v>
      </c>
    </row>
    <row r="22" spans="3:8" x14ac:dyDescent="0.25">
      <c r="C22">
        <f t="shared" si="3"/>
        <v>21</v>
      </c>
      <c r="D22" s="24">
        <f t="shared" si="4"/>
        <v>40210</v>
      </c>
      <c r="E22" s="25">
        <f t="shared" si="0"/>
        <v>-158.56729151845906</v>
      </c>
      <c r="F22" s="25">
        <f t="shared" si="1"/>
        <v>-1852.9892508434973</v>
      </c>
      <c r="G22" s="25">
        <f t="shared" si="5"/>
        <v>246906.66615428118</v>
      </c>
      <c r="H22" s="56">
        <f t="shared" si="2"/>
        <v>0.98762666461712467</v>
      </c>
    </row>
    <row r="23" spans="3:8" x14ac:dyDescent="0.25">
      <c r="C23">
        <f t="shared" si="3"/>
        <v>22</v>
      </c>
      <c r="D23" s="24">
        <f t="shared" si="4"/>
        <v>40238</v>
      </c>
      <c r="E23" s="25">
        <f t="shared" si="0"/>
        <v>-159.75654620484755</v>
      </c>
      <c r="F23" s="25">
        <f t="shared" si="1"/>
        <v>-1851.7999961571088</v>
      </c>
      <c r="G23" s="25">
        <f t="shared" si="5"/>
        <v>246746.90960807633</v>
      </c>
      <c r="H23" s="56">
        <f t="shared" si="2"/>
        <v>0.9869876384323053</v>
      </c>
    </row>
    <row r="24" spans="3:8" x14ac:dyDescent="0.25">
      <c r="C24">
        <f t="shared" si="3"/>
        <v>23</v>
      </c>
      <c r="D24" s="24">
        <f t="shared" si="4"/>
        <v>40269</v>
      </c>
      <c r="E24" s="25">
        <f t="shared" si="0"/>
        <v>-160.95472030138387</v>
      </c>
      <c r="F24" s="25">
        <f t="shared" si="1"/>
        <v>-1850.6018220605724</v>
      </c>
      <c r="G24" s="25">
        <f t="shared" si="5"/>
        <v>246585.95488777495</v>
      </c>
      <c r="H24" s="56">
        <f t="shared" si="2"/>
        <v>0.98634381955109984</v>
      </c>
    </row>
    <row r="25" spans="3:8" x14ac:dyDescent="0.25">
      <c r="C25">
        <f t="shared" si="3"/>
        <v>24</v>
      </c>
      <c r="D25" s="24">
        <f t="shared" si="4"/>
        <v>40299</v>
      </c>
      <c r="E25" s="25">
        <f t="shared" si="0"/>
        <v>-162.16188070364421</v>
      </c>
      <c r="F25" s="25">
        <f t="shared" si="1"/>
        <v>-1849.3946616583121</v>
      </c>
      <c r="G25" s="25">
        <f t="shared" si="5"/>
        <v>246423.7930070713</v>
      </c>
      <c r="H25" s="56">
        <f t="shared" si="2"/>
        <v>0.98569517202828527</v>
      </c>
    </row>
    <row r="26" spans="3:8" x14ac:dyDescent="0.25">
      <c r="C26">
        <f t="shared" si="3"/>
        <v>25</v>
      </c>
      <c r="D26" s="24">
        <f t="shared" si="4"/>
        <v>40330</v>
      </c>
      <c r="E26" s="25">
        <f t="shared" si="0"/>
        <v>-163.37809480892162</v>
      </c>
      <c r="F26" s="25">
        <f t="shared" si="1"/>
        <v>-1848.1784475530349</v>
      </c>
      <c r="G26" s="25">
        <f t="shared" si="5"/>
        <v>246260.41491226238</v>
      </c>
      <c r="H26" s="56">
        <f t="shared" si="2"/>
        <v>0.98504165964904955</v>
      </c>
    </row>
    <row r="27" spans="3:8" x14ac:dyDescent="0.25">
      <c r="C27">
        <f t="shared" si="3"/>
        <v>26</v>
      </c>
      <c r="D27" s="24">
        <f t="shared" si="4"/>
        <v>40360</v>
      </c>
      <c r="E27" s="25">
        <f t="shared" si="0"/>
        <v>-164.60343051998848</v>
      </c>
      <c r="F27" s="25">
        <f t="shared" si="1"/>
        <v>-1846.9531118419679</v>
      </c>
      <c r="G27" s="25">
        <f t="shared" si="5"/>
        <v>246095.81148174239</v>
      </c>
      <c r="H27" s="56">
        <f t="shared" si="2"/>
        <v>0.98438324592696957</v>
      </c>
    </row>
    <row r="28" spans="3:8" x14ac:dyDescent="0.25">
      <c r="C28">
        <f t="shared" si="3"/>
        <v>27</v>
      </c>
      <c r="D28" s="24">
        <f t="shared" si="4"/>
        <v>40391</v>
      </c>
      <c r="E28" s="25">
        <f t="shared" si="0"/>
        <v>-165.83795624888839</v>
      </c>
      <c r="F28" s="25">
        <f t="shared" si="1"/>
        <v>-1845.7185861130681</v>
      </c>
      <c r="G28" s="25">
        <f t="shared" si="5"/>
        <v>245929.97352549349</v>
      </c>
      <c r="H28" s="56">
        <f t="shared" si="2"/>
        <v>0.98371989410197402</v>
      </c>
    </row>
    <row r="29" spans="3:8" x14ac:dyDescent="0.25">
      <c r="C29">
        <f t="shared" si="3"/>
        <v>28</v>
      </c>
      <c r="D29" s="24">
        <f t="shared" si="4"/>
        <v>40422</v>
      </c>
      <c r="E29" s="25">
        <f t="shared" si="0"/>
        <v>-167.0817409207551</v>
      </c>
      <c r="F29" s="25">
        <f t="shared" si="1"/>
        <v>-1844.4748014412014</v>
      </c>
      <c r="G29" s="25">
        <f t="shared" si="5"/>
        <v>245762.89178457274</v>
      </c>
      <c r="H29" s="56">
        <f t="shared" si="2"/>
        <v>0.983051567138291</v>
      </c>
    </row>
    <row r="30" spans="3:8" x14ac:dyDescent="0.25">
      <c r="C30">
        <f t="shared" si="3"/>
        <v>29</v>
      </c>
      <c r="D30" s="24">
        <f t="shared" si="4"/>
        <v>40452</v>
      </c>
      <c r="E30" s="25">
        <f t="shared" si="0"/>
        <v>-168.33485397766077</v>
      </c>
      <c r="F30" s="25">
        <f t="shared" si="1"/>
        <v>-1843.2216883842957</v>
      </c>
      <c r="G30" s="25">
        <f t="shared" si="5"/>
        <v>245594.55693059508</v>
      </c>
      <c r="H30" s="56">
        <f t="shared" si="2"/>
        <v>0.98237822772238026</v>
      </c>
    </row>
    <row r="31" spans="3:8" x14ac:dyDescent="0.25">
      <c r="C31">
        <f t="shared" si="3"/>
        <v>30</v>
      </c>
      <c r="D31" s="24">
        <f t="shared" si="4"/>
        <v>40483</v>
      </c>
      <c r="E31" s="25">
        <f t="shared" si="0"/>
        <v>-169.59736538249319</v>
      </c>
      <c r="F31" s="25">
        <f t="shared" si="1"/>
        <v>-1841.9591769794633</v>
      </c>
      <c r="G31" s="25">
        <f t="shared" si="5"/>
        <v>245424.95956521257</v>
      </c>
      <c r="H31" s="56">
        <f t="shared" si="2"/>
        <v>0.98169983826085028</v>
      </c>
    </row>
    <row r="32" spans="3:8" x14ac:dyDescent="0.25">
      <c r="C32">
        <f t="shared" si="3"/>
        <v>31</v>
      </c>
      <c r="D32" s="24">
        <f t="shared" si="4"/>
        <v>40513</v>
      </c>
      <c r="E32" s="25">
        <f t="shared" si="0"/>
        <v>-170.86934562286194</v>
      </c>
      <c r="F32" s="25">
        <f t="shared" si="1"/>
        <v>-1840.6871967390944</v>
      </c>
      <c r="G32" s="25">
        <f t="shared" si="5"/>
        <v>245254.09021958971</v>
      </c>
      <c r="H32" s="56">
        <f t="shared" si="2"/>
        <v>0.98101636087835886</v>
      </c>
    </row>
    <row r="33" spans="3:8" x14ac:dyDescent="0.25">
      <c r="C33">
        <f t="shared" si="3"/>
        <v>32</v>
      </c>
      <c r="D33" s="24">
        <f t="shared" si="4"/>
        <v>40544</v>
      </c>
      <c r="E33" s="25">
        <f t="shared" si="0"/>
        <v>-172.15086571503338</v>
      </c>
      <c r="F33" s="25">
        <f t="shared" si="1"/>
        <v>-1839.405676646923</v>
      </c>
      <c r="G33" s="25">
        <f t="shared" si="5"/>
        <v>245081.93935387468</v>
      </c>
      <c r="H33" s="56">
        <f t="shared" si="2"/>
        <v>0.98032775741549871</v>
      </c>
    </row>
    <row r="34" spans="3:8" x14ac:dyDescent="0.25">
      <c r="C34">
        <f t="shared" si="3"/>
        <v>33</v>
      </c>
      <c r="D34" s="24">
        <f t="shared" si="4"/>
        <v>40575</v>
      </c>
      <c r="E34" s="25">
        <f t="shared" si="0"/>
        <v>-173.44199720789609</v>
      </c>
      <c r="F34" s="25">
        <f t="shared" si="1"/>
        <v>-1838.1145451540604</v>
      </c>
      <c r="G34" s="25">
        <f t="shared" si="5"/>
        <v>244908.49735666678</v>
      </c>
      <c r="H34" s="56">
        <f t="shared" si="2"/>
        <v>0.97963398942666713</v>
      </c>
    </row>
    <row r="35" spans="3:8" x14ac:dyDescent="0.25">
      <c r="C35">
        <f t="shared" si="3"/>
        <v>34</v>
      </c>
      <c r="D35" s="24">
        <f t="shared" si="4"/>
        <v>40603</v>
      </c>
      <c r="E35" s="25">
        <f t="shared" si="0"/>
        <v>-174.74281218695529</v>
      </c>
      <c r="F35" s="25">
        <f t="shared" si="1"/>
        <v>-1836.8137301750012</v>
      </c>
      <c r="G35" s="25">
        <f t="shared" si="5"/>
        <v>244733.75454447983</v>
      </c>
      <c r="H35" s="56">
        <f t="shared" si="2"/>
        <v>0.97893501817791928</v>
      </c>
    </row>
    <row r="36" spans="3:8" x14ac:dyDescent="0.25">
      <c r="C36">
        <f t="shared" si="3"/>
        <v>35</v>
      </c>
      <c r="D36" s="24">
        <f t="shared" si="4"/>
        <v>40634</v>
      </c>
      <c r="E36" s="25">
        <f t="shared" si="0"/>
        <v>-176.05338327835753</v>
      </c>
      <c r="F36" s="25">
        <f t="shared" si="1"/>
        <v>-1835.5031590835988</v>
      </c>
      <c r="G36" s="25">
        <f t="shared" si="5"/>
        <v>244557.70116120146</v>
      </c>
      <c r="H36" s="56">
        <f t="shared" si="2"/>
        <v>0.97823080464480583</v>
      </c>
    </row>
    <row r="37" spans="3:8" x14ac:dyDescent="0.25">
      <c r="C37">
        <f t="shared" si="3"/>
        <v>36</v>
      </c>
      <c r="D37" s="24">
        <f t="shared" si="4"/>
        <v>40664</v>
      </c>
      <c r="E37" s="25">
        <f t="shared" si="0"/>
        <v>-177.37378365294518</v>
      </c>
      <c r="F37" s="25">
        <f t="shared" si="1"/>
        <v>-1834.1827587090113</v>
      </c>
      <c r="G37" s="25">
        <f t="shared" si="5"/>
        <v>244380.32737754853</v>
      </c>
      <c r="H37" s="56">
        <f t="shared" si="2"/>
        <v>0.97752130951019411</v>
      </c>
    </row>
    <row r="38" spans="3:8" x14ac:dyDescent="0.25">
      <c r="C38">
        <f t="shared" si="3"/>
        <v>37</v>
      </c>
      <c r="D38" s="24">
        <f t="shared" si="4"/>
        <v>40695</v>
      </c>
      <c r="E38" s="25">
        <f t="shared" si="0"/>
        <v>-178.70408703034224</v>
      </c>
      <c r="F38" s="25">
        <f t="shared" si="1"/>
        <v>-1832.8524553316142</v>
      </c>
      <c r="G38" s="25">
        <f t="shared" si="5"/>
        <v>244201.62329051818</v>
      </c>
      <c r="H38" s="56">
        <f t="shared" si="2"/>
        <v>0.97680649316207269</v>
      </c>
    </row>
    <row r="39" spans="3:8" x14ac:dyDescent="0.25">
      <c r="C39">
        <f t="shared" si="3"/>
        <v>38</v>
      </c>
      <c r="D39" s="24">
        <f t="shared" si="4"/>
        <v>40725</v>
      </c>
      <c r="E39" s="25">
        <f t="shared" si="0"/>
        <v>-180.04436768306985</v>
      </c>
      <c r="F39" s="25">
        <f t="shared" si="1"/>
        <v>-1831.5121746788866</v>
      </c>
      <c r="G39" s="25">
        <f t="shared" si="5"/>
        <v>244021.57892283512</v>
      </c>
      <c r="H39" s="56">
        <f t="shared" si="2"/>
        <v>0.97608631569134052</v>
      </c>
    </row>
    <row r="40" spans="3:8" x14ac:dyDescent="0.25">
      <c r="C40">
        <f t="shared" si="3"/>
        <v>39</v>
      </c>
      <c r="D40" s="24">
        <f t="shared" si="4"/>
        <v>40756</v>
      </c>
      <c r="E40" s="25">
        <f t="shared" si="0"/>
        <v>-181.39470044069287</v>
      </c>
      <c r="F40" s="25">
        <f t="shared" si="1"/>
        <v>-1830.1618419212637</v>
      </c>
      <c r="G40" s="25">
        <f t="shared" si="5"/>
        <v>243840.18422239443</v>
      </c>
      <c r="H40" s="56">
        <f t="shared" si="2"/>
        <v>0.9753607368895777</v>
      </c>
    </row>
    <row r="41" spans="3:8" x14ac:dyDescent="0.25">
      <c r="C41">
        <f t="shared" si="3"/>
        <v>40</v>
      </c>
      <c r="D41" s="24">
        <f t="shared" si="4"/>
        <v>40787</v>
      </c>
      <c r="E41" s="25">
        <f t="shared" si="0"/>
        <v>-182.75516069399802</v>
      </c>
      <c r="F41" s="25">
        <f t="shared" si="1"/>
        <v>-1828.8013816679584</v>
      </c>
      <c r="G41" s="25">
        <f t="shared" si="5"/>
        <v>243657.42906170042</v>
      </c>
      <c r="H41" s="56">
        <f t="shared" si="2"/>
        <v>0.97462971624680161</v>
      </c>
    </row>
    <row r="42" spans="3:8" x14ac:dyDescent="0.25">
      <c r="C42">
        <f t="shared" si="3"/>
        <v>41</v>
      </c>
      <c r="D42" s="24">
        <f t="shared" si="4"/>
        <v>40817</v>
      </c>
      <c r="E42" s="25">
        <f t="shared" si="0"/>
        <v>-184.12582439920308</v>
      </c>
      <c r="F42" s="25">
        <f t="shared" si="1"/>
        <v>-1827.4307179627533</v>
      </c>
      <c r="G42" s="25">
        <f t="shared" si="5"/>
        <v>243473.30323730121</v>
      </c>
      <c r="H42" s="56">
        <f t="shared" si="2"/>
        <v>0.97389321294920483</v>
      </c>
    </row>
    <row r="43" spans="3:8" x14ac:dyDescent="0.25">
      <c r="C43">
        <f t="shared" si="3"/>
        <v>42</v>
      </c>
      <c r="D43" s="24">
        <f t="shared" si="4"/>
        <v>40848</v>
      </c>
      <c r="E43" s="25">
        <f t="shared" si="0"/>
        <v>-185.50676808219708</v>
      </c>
      <c r="F43" s="25">
        <f t="shared" si="1"/>
        <v>-1826.0497742797593</v>
      </c>
      <c r="G43" s="25">
        <f t="shared" si="5"/>
        <v>243287.796469219</v>
      </c>
      <c r="H43" s="56">
        <f t="shared" si="2"/>
        <v>0.97315118587687599</v>
      </c>
    </row>
    <row r="44" spans="3:8" x14ac:dyDescent="0.25">
      <c r="C44">
        <f t="shared" si="3"/>
        <v>43</v>
      </c>
      <c r="D44" s="24">
        <f t="shared" si="4"/>
        <v>40878</v>
      </c>
      <c r="E44" s="25">
        <f t="shared" si="0"/>
        <v>-186.89806884281353</v>
      </c>
      <c r="F44" s="25">
        <f t="shared" si="1"/>
        <v>-1824.6584735191429</v>
      </c>
      <c r="G44" s="25">
        <f t="shared" si="5"/>
        <v>243100.89840037617</v>
      </c>
      <c r="H44" s="56">
        <f t="shared" si="2"/>
        <v>0.97240359360150475</v>
      </c>
    </row>
    <row r="45" spans="3:8" x14ac:dyDescent="0.25">
      <c r="C45">
        <f t="shared" si="3"/>
        <v>44</v>
      </c>
      <c r="D45" s="24">
        <f t="shared" si="4"/>
        <v>40909</v>
      </c>
      <c r="E45" s="25">
        <f t="shared" si="0"/>
        <v>-188.29980435913467</v>
      </c>
      <c r="F45" s="25">
        <f t="shared" si="1"/>
        <v>-1823.2567380028217</v>
      </c>
      <c r="G45" s="25">
        <f t="shared" si="5"/>
        <v>242912.59859601705</v>
      </c>
      <c r="H45" s="56">
        <f t="shared" si="2"/>
        <v>0.97165039438406819</v>
      </c>
    </row>
    <row r="46" spans="3:8" x14ac:dyDescent="0.25">
      <c r="C46">
        <f t="shared" si="3"/>
        <v>45</v>
      </c>
      <c r="D46" s="24">
        <f t="shared" si="4"/>
        <v>40940</v>
      </c>
      <c r="E46" s="25">
        <f t="shared" si="0"/>
        <v>-189.71205289182814</v>
      </c>
      <c r="F46" s="25">
        <f t="shared" si="1"/>
        <v>-1821.8444894701283</v>
      </c>
      <c r="G46" s="25">
        <f t="shared" si="5"/>
        <v>242722.88654312523</v>
      </c>
      <c r="H46" s="56">
        <f t="shared" si="2"/>
        <v>0.97089154617250095</v>
      </c>
    </row>
    <row r="47" spans="3:8" x14ac:dyDescent="0.25">
      <c r="C47">
        <f t="shared" si="3"/>
        <v>46</v>
      </c>
      <c r="D47" s="24">
        <f t="shared" si="4"/>
        <v>40969</v>
      </c>
      <c r="E47" s="25">
        <f t="shared" si="0"/>
        <v>-191.13489328851685</v>
      </c>
      <c r="F47" s="25">
        <f t="shared" si="1"/>
        <v>-1820.4216490734395</v>
      </c>
      <c r="G47" s="25">
        <f t="shared" si="5"/>
        <v>242531.75164983672</v>
      </c>
      <c r="H47" s="56">
        <f t="shared" si="2"/>
        <v>0.97012700659934692</v>
      </c>
    </row>
    <row r="48" spans="3:8" x14ac:dyDescent="0.25">
      <c r="C48">
        <f t="shared" si="3"/>
        <v>47</v>
      </c>
      <c r="D48" s="24">
        <f t="shared" si="4"/>
        <v>41000</v>
      </c>
      <c r="E48" s="25">
        <f t="shared" si="0"/>
        <v>-192.5684049881807</v>
      </c>
      <c r="F48" s="25">
        <f t="shared" si="1"/>
        <v>-1818.9881373737758</v>
      </c>
      <c r="G48" s="25">
        <f t="shared" si="5"/>
        <v>242339.18324484854</v>
      </c>
      <c r="H48" s="56">
        <f t="shared" si="2"/>
        <v>0.96935673297939418</v>
      </c>
    </row>
    <row r="49" spans="3:8" x14ac:dyDescent="0.25">
      <c r="C49">
        <f t="shared" si="3"/>
        <v>48</v>
      </c>
      <c r="D49" s="24">
        <f t="shared" si="4"/>
        <v>41030</v>
      </c>
      <c r="E49" s="25">
        <f t="shared" si="0"/>
        <v>-194.01266802559212</v>
      </c>
      <c r="F49" s="25">
        <f t="shared" si="1"/>
        <v>-1817.5438743363643</v>
      </c>
      <c r="G49" s="25">
        <f t="shared" si="5"/>
        <v>242145.17057682294</v>
      </c>
      <c r="H49" s="56">
        <f t="shared" si="2"/>
        <v>0.96858068230729177</v>
      </c>
    </row>
    <row r="50" spans="3:8" x14ac:dyDescent="0.25">
      <c r="C50">
        <f t="shared" si="3"/>
        <v>49</v>
      </c>
      <c r="D50" s="24">
        <f t="shared" si="4"/>
        <v>41061</v>
      </c>
      <c r="E50" s="25">
        <f t="shared" si="0"/>
        <v>-195.46776303578403</v>
      </c>
      <c r="F50" s="25">
        <f t="shared" si="1"/>
        <v>-1816.0887793261725</v>
      </c>
      <c r="G50" s="25">
        <f t="shared" si="5"/>
        <v>241949.70281378715</v>
      </c>
      <c r="H50" s="56">
        <f t="shared" si="2"/>
        <v>0.96779881125514866</v>
      </c>
    </row>
    <row r="51" spans="3:8" x14ac:dyDescent="0.25">
      <c r="C51">
        <f t="shared" si="3"/>
        <v>50</v>
      </c>
      <c r="D51" s="24">
        <f t="shared" si="4"/>
        <v>41091</v>
      </c>
      <c r="E51" s="25">
        <f t="shared" si="0"/>
        <v>-196.93377125855238</v>
      </c>
      <c r="F51" s="25">
        <f t="shared" si="1"/>
        <v>-1814.6227711034039</v>
      </c>
      <c r="G51" s="25">
        <f t="shared" si="5"/>
        <v>241752.76904252861</v>
      </c>
      <c r="H51" s="56">
        <f t="shared" si="2"/>
        <v>0.9670110761701145</v>
      </c>
    </row>
    <row r="52" spans="3:8" x14ac:dyDescent="0.25">
      <c r="C52">
        <f t="shared" si="3"/>
        <v>51</v>
      </c>
      <c r="D52" s="24">
        <f t="shared" si="4"/>
        <v>41122</v>
      </c>
      <c r="E52" s="25">
        <f t="shared" si="0"/>
        <v>-198.41077454299159</v>
      </c>
      <c r="F52" s="25">
        <f t="shared" si="1"/>
        <v>-1813.1457678189649</v>
      </c>
      <c r="G52" s="25">
        <f t="shared" si="5"/>
        <v>241554.35826798563</v>
      </c>
      <c r="H52" s="56">
        <f t="shared" si="2"/>
        <v>0.96621743307194252</v>
      </c>
    </row>
    <row r="53" spans="3:8" x14ac:dyDescent="0.25">
      <c r="C53">
        <f t="shared" si="3"/>
        <v>52</v>
      </c>
      <c r="D53" s="24">
        <f t="shared" si="4"/>
        <v>41153</v>
      </c>
      <c r="E53" s="25">
        <f t="shared" si="0"/>
        <v>-199.898855352064</v>
      </c>
      <c r="F53" s="25">
        <f t="shared" si="1"/>
        <v>-1811.6576870098925</v>
      </c>
      <c r="G53" s="25">
        <f t="shared" si="5"/>
        <v>241354.45941263356</v>
      </c>
      <c r="H53" s="56">
        <f t="shared" si="2"/>
        <v>0.96541783765053424</v>
      </c>
    </row>
    <row r="54" spans="3:8" x14ac:dyDescent="0.25">
      <c r="C54">
        <f t="shared" si="3"/>
        <v>53</v>
      </c>
      <c r="D54" s="24">
        <f t="shared" si="4"/>
        <v>41183</v>
      </c>
      <c r="E54" s="25">
        <f t="shared" si="0"/>
        <v>-201.39809676720446</v>
      </c>
      <c r="F54" s="25">
        <f t="shared" si="1"/>
        <v>-1810.158445594752</v>
      </c>
      <c r="G54" s="25">
        <f t="shared" si="5"/>
        <v>241153.06131586636</v>
      </c>
      <c r="H54" s="56">
        <f t="shared" si="2"/>
        <v>0.96461224526346545</v>
      </c>
    </row>
    <row r="55" spans="3:8" x14ac:dyDescent="0.25">
      <c r="C55">
        <f t="shared" si="3"/>
        <v>54</v>
      </c>
      <c r="D55" s="24">
        <f t="shared" si="4"/>
        <v>41214</v>
      </c>
      <c r="E55" s="25">
        <f t="shared" si="0"/>
        <v>-202.90858249295854</v>
      </c>
      <c r="F55" s="25">
        <f t="shared" si="1"/>
        <v>-1808.647959868998</v>
      </c>
      <c r="G55" s="25">
        <f t="shared" si="5"/>
        <v>240950.1527333734</v>
      </c>
      <c r="H55" s="56">
        <f t="shared" si="2"/>
        <v>0.96380061093349356</v>
      </c>
    </row>
    <row r="56" spans="3:8" x14ac:dyDescent="0.25">
      <c r="C56">
        <f t="shared" si="3"/>
        <v>55</v>
      </c>
      <c r="D56" s="24">
        <f t="shared" si="4"/>
        <v>41244</v>
      </c>
      <c r="E56" s="25">
        <f t="shared" si="0"/>
        <v>-204.43039686165571</v>
      </c>
      <c r="F56" s="25">
        <f t="shared" si="1"/>
        <v>-1807.1261455003007</v>
      </c>
      <c r="G56" s="25">
        <f t="shared" si="5"/>
        <v>240745.72233651174</v>
      </c>
      <c r="H56" s="56">
        <f t="shared" si="2"/>
        <v>0.96298288934604692</v>
      </c>
    </row>
    <row r="57" spans="3:8" x14ac:dyDescent="0.25">
      <c r="C57">
        <f t="shared" si="3"/>
        <v>56</v>
      </c>
      <c r="D57" s="24">
        <f t="shared" si="4"/>
        <v>41275</v>
      </c>
      <c r="E57" s="25">
        <f t="shared" si="0"/>
        <v>-205.96362483811811</v>
      </c>
      <c r="F57" s="25">
        <f t="shared" si="1"/>
        <v>-1805.5929175238384</v>
      </c>
      <c r="G57" s="25">
        <f t="shared" si="5"/>
        <v>240539.75871167361</v>
      </c>
      <c r="H57" s="56">
        <f t="shared" si="2"/>
        <v>0.96215903484669441</v>
      </c>
    </row>
    <row r="58" spans="3:8" x14ac:dyDescent="0.25">
      <c r="C58">
        <f t="shared" si="3"/>
        <v>57</v>
      </c>
      <c r="D58" s="24">
        <f t="shared" si="4"/>
        <v>41306</v>
      </c>
      <c r="E58" s="25">
        <f t="shared" si="0"/>
        <v>-207.50835202440405</v>
      </c>
      <c r="F58" s="25">
        <f t="shared" si="1"/>
        <v>-1804.0481903375523</v>
      </c>
      <c r="G58" s="25">
        <f t="shared" si="5"/>
        <v>240332.25035964922</v>
      </c>
      <c r="H58" s="56">
        <f t="shared" si="2"/>
        <v>0.9613290014385969</v>
      </c>
    </row>
    <row r="59" spans="3:8" x14ac:dyDescent="0.25">
      <c r="C59">
        <f t="shared" si="3"/>
        <v>58</v>
      </c>
      <c r="D59" s="24">
        <f t="shared" si="4"/>
        <v>41334</v>
      </c>
      <c r="E59" s="25">
        <f t="shared" si="0"/>
        <v>-209.06466466458707</v>
      </c>
      <c r="F59" s="25">
        <f t="shared" si="1"/>
        <v>-1802.4918776973693</v>
      </c>
      <c r="G59" s="25">
        <f t="shared" si="5"/>
        <v>240123.18569498463</v>
      </c>
      <c r="H59" s="56">
        <f t="shared" si="2"/>
        <v>0.96049274277993846</v>
      </c>
    </row>
    <row r="60" spans="3:8" x14ac:dyDescent="0.25">
      <c r="C60">
        <f t="shared" si="3"/>
        <v>59</v>
      </c>
      <c r="D60" s="24">
        <f t="shared" si="4"/>
        <v>41365</v>
      </c>
      <c r="E60" s="25">
        <f t="shared" si="0"/>
        <v>-210.63264964957142</v>
      </c>
      <c r="F60" s="25">
        <f t="shared" si="1"/>
        <v>-1800.9238927123849</v>
      </c>
      <c r="G60" s="25">
        <f t="shared" si="5"/>
        <v>239912.55304533505</v>
      </c>
      <c r="H60" s="56">
        <f t="shared" si="2"/>
        <v>0.95965021218134017</v>
      </c>
    </row>
    <row r="61" spans="3:8" x14ac:dyDescent="0.25">
      <c r="C61">
        <f t="shared" si="3"/>
        <v>60</v>
      </c>
      <c r="D61" s="24">
        <f t="shared" si="4"/>
        <v>41395</v>
      </c>
      <c r="E61" s="25">
        <f t="shared" si="0"/>
        <v>-212.21239452194328</v>
      </c>
      <c r="F61" s="25">
        <f t="shared" si="1"/>
        <v>-1799.3441478400132</v>
      </c>
      <c r="G61" s="25">
        <f t="shared" si="5"/>
        <v>239700.3406508131</v>
      </c>
      <c r="H61" s="56">
        <f t="shared" si="2"/>
        <v>0.95880136260325244</v>
      </c>
    </row>
    <row r="62" spans="3:8" x14ac:dyDescent="0.25">
      <c r="C62">
        <f t="shared" si="3"/>
        <v>61</v>
      </c>
      <c r="D62" s="24">
        <f t="shared" si="4"/>
        <v>41426</v>
      </c>
      <c r="E62" s="25">
        <f t="shared" si="0"/>
        <v>-213.80398748085781</v>
      </c>
      <c r="F62" s="25">
        <f t="shared" si="1"/>
        <v>-1797.7525548810986</v>
      </c>
      <c r="G62" s="25">
        <f t="shared" si="5"/>
        <v>239486.53666333226</v>
      </c>
      <c r="H62" s="56">
        <f t="shared" si="2"/>
        <v>0.957946146653329</v>
      </c>
    </row>
    <row r="63" spans="3:8" x14ac:dyDescent="0.25">
      <c r="C63">
        <f t="shared" si="3"/>
        <v>62</v>
      </c>
      <c r="D63" s="24">
        <f t="shared" si="4"/>
        <v>41456</v>
      </c>
      <c r="E63" s="25">
        <f t="shared" si="0"/>
        <v>-215.40751738696423</v>
      </c>
      <c r="F63" s="25">
        <f t="shared" si="1"/>
        <v>-1796.1490249749922</v>
      </c>
      <c r="G63" s="25">
        <f t="shared" si="5"/>
        <v>239271.12914594528</v>
      </c>
      <c r="H63" s="56">
        <f t="shared" si="2"/>
        <v>0.95708451658378113</v>
      </c>
    </row>
    <row r="64" spans="3:8" x14ac:dyDescent="0.25">
      <c r="C64">
        <f t="shared" si="3"/>
        <v>63</v>
      </c>
      <c r="D64" s="24">
        <f t="shared" si="4"/>
        <v>41487</v>
      </c>
      <c r="E64" s="25">
        <f t="shared" si="0"/>
        <v>-217.02307376736641</v>
      </c>
      <c r="F64" s="25">
        <f t="shared" si="1"/>
        <v>-1794.53346859459</v>
      </c>
      <c r="G64" s="25">
        <f t="shared" si="5"/>
        <v>239054.10607217791</v>
      </c>
      <c r="H64" s="56">
        <f t="shared" si="2"/>
        <v>0.95621642428871167</v>
      </c>
    </row>
    <row r="65" spans="3:8" x14ac:dyDescent="0.25">
      <c r="C65">
        <f t="shared" si="3"/>
        <v>64</v>
      </c>
      <c r="D65" s="24">
        <f t="shared" si="4"/>
        <v>41518</v>
      </c>
      <c r="E65" s="25">
        <f t="shared" si="0"/>
        <v>-218.65074682062172</v>
      </c>
      <c r="F65" s="25">
        <f t="shared" si="1"/>
        <v>-1792.9057955413348</v>
      </c>
      <c r="G65" s="25">
        <f t="shared" si="5"/>
        <v>238835.4553253573</v>
      </c>
      <c r="H65" s="56">
        <f t="shared" si="2"/>
        <v>0.95534182130142919</v>
      </c>
    </row>
    <row r="66" spans="3:8" x14ac:dyDescent="0.25">
      <c r="C66">
        <f t="shared" si="3"/>
        <v>65</v>
      </c>
      <c r="D66" s="24">
        <f t="shared" si="4"/>
        <v>41548</v>
      </c>
      <c r="E66" s="25">
        <f t="shared" si="0"/>
        <v>-220.29062742177635</v>
      </c>
      <c r="F66" s="25">
        <f t="shared" si="1"/>
        <v>-1791.26591494018</v>
      </c>
      <c r="G66" s="25">
        <f t="shared" si="5"/>
        <v>238615.16469793551</v>
      </c>
      <c r="H66" s="56">
        <f t="shared" si="2"/>
        <v>0.95446065879174202</v>
      </c>
    </row>
    <row r="67" spans="3:8" x14ac:dyDescent="0.25">
      <c r="C67">
        <f t="shared" si="3"/>
        <v>66</v>
      </c>
      <c r="D67" s="24">
        <f t="shared" si="4"/>
        <v>41579</v>
      </c>
      <c r="E67" s="25">
        <f t="shared" ref="E67:E130" si="6">PPMT($A$9/12,C67,$A$6,$A$3)</f>
        <v>-221.94280712743964</v>
      </c>
      <c r="F67" s="25">
        <f t="shared" ref="F67:F130" si="7">$A$15-E67</f>
        <v>-1789.6137352345168</v>
      </c>
      <c r="G67" s="25">
        <f t="shared" si="5"/>
        <v>238393.22189080808</v>
      </c>
      <c r="H67" s="56">
        <f t="shared" ref="H67:H130" si="8">G67/$A$3</f>
        <v>0.95357288756323233</v>
      </c>
    </row>
    <row r="68" spans="3:8" x14ac:dyDescent="0.25">
      <c r="C68">
        <f t="shared" ref="C68:C131" si="9">C67+1</f>
        <v>67</v>
      </c>
      <c r="D68" s="24">
        <f t="shared" ref="D68:D131" si="10">EDATE(D67,1)</f>
        <v>41609</v>
      </c>
      <c r="E68" s="25">
        <f t="shared" si="6"/>
        <v>-223.60737818089555</v>
      </c>
      <c r="F68" s="25">
        <f t="shared" si="7"/>
        <v>-1787.949164181061</v>
      </c>
      <c r="G68" s="25">
        <f t="shared" ref="G68:G131" si="11">G67+E68</f>
        <v>238169.61451262719</v>
      </c>
      <c r="H68" s="56">
        <f t="shared" si="8"/>
        <v>0.95267845805050877</v>
      </c>
    </row>
    <row r="69" spans="3:8" x14ac:dyDescent="0.25">
      <c r="C69">
        <f t="shared" si="9"/>
        <v>68</v>
      </c>
      <c r="D69" s="24">
        <f t="shared" si="10"/>
        <v>41640</v>
      </c>
      <c r="E69" s="25">
        <f t="shared" si="6"/>
        <v>-225.28443351725224</v>
      </c>
      <c r="F69" s="25">
        <f t="shared" si="7"/>
        <v>-1786.2721088447042</v>
      </c>
      <c r="G69" s="25">
        <f t="shared" si="11"/>
        <v>237944.33007910993</v>
      </c>
      <c r="H69" s="56">
        <f t="shared" si="8"/>
        <v>0.95177732031643969</v>
      </c>
    </row>
    <row r="70" spans="3:8" x14ac:dyDescent="0.25">
      <c r="C70">
        <f t="shared" si="9"/>
        <v>69</v>
      </c>
      <c r="D70" s="24">
        <f t="shared" si="10"/>
        <v>41671</v>
      </c>
      <c r="E70" s="25">
        <f t="shared" si="6"/>
        <v>-226.97406676863156</v>
      </c>
      <c r="F70" s="25">
        <f t="shared" si="7"/>
        <v>-1784.5824755933249</v>
      </c>
      <c r="G70" s="25">
        <f t="shared" si="11"/>
        <v>237717.3560123413</v>
      </c>
      <c r="H70" s="56">
        <f t="shared" si="8"/>
        <v>0.95086942404936525</v>
      </c>
    </row>
    <row r="71" spans="3:8" x14ac:dyDescent="0.25">
      <c r="C71">
        <f t="shared" si="9"/>
        <v>70</v>
      </c>
      <c r="D71" s="24">
        <f t="shared" si="10"/>
        <v>41699</v>
      </c>
      <c r="E71" s="25">
        <f t="shared" si="6"/>
        <v>-228.67637226939641</v>
      </c>
      <c r="F71" s="25">
        <f t="shared" si="7"/>
        <v>-1782.8801700925601</v>
      </c>
      <c r="G71" s="25">
        <f t="shared" si="11"/>
        <v>237488.6796400719</v>
      </c>
      <c r="H71" s="56">
        <f t="shared" si="8"/>
        <v>0.94995471856028757</v>
      </c>
    </row>
    <row r="72" spans="3:8" x14ac:dyDescent="0.25">
      <c r="C72">
        <f t="shared" si="9"/>
        <v>71</v>
      </c>
      <c r="D72" s="24">
        <f t="shared" si="10"/>
        <v>41730</v>
      </c>
      <c r="E72" s="25">
        <f t="shared" si="6"/>
        <v>-230.39144506141685</v>
      </c>
      <c r="F72" s="25">
        <f t="shared" si="7"/>
        <v>-1781.1650973005396</v>
      </c>
      <c r="G72" s="25">
        <f t="shared" si="11"/>
        <v>237258.28819501048</v>
      </c>
      <c r="H72" s="56">
        <f t="shared" si="8"/>
        <v>0.94903315278004197</v>
      </c>
    </row>
    <row r="73" spans="3:8" x14ac:dyDescent="0.25">
      <c r="C73">
        <f t="shared" si="9"/>
        <v>72</v>
      </c>
      <c r="D73" s="24">
        <f t="shared" si="10"/>
        <v>41760</v>
      </c>
      <c r="E73" s="25">
        <f t="shared" si="6"/>
        <v>-232.11938089937743</v>
      </c>
      <c r="F73" s="25">
        <f t="shared" si="7"/>
        <v>-1779.4371614625791</v>
      </c>
      <c r="G73" s="25">
        <f t="shared" si="11"/>
        <v>237026.16881411109</v>
      </c>
      <c r="H73" s="56">
        <f t="shared" si="8"/>
        <v>0.94810467525644437</v>
      </c>
    </row>
    <row r="74" spans="3:8" x14ac:dyDescent="0.25">
      <c r="C74">
        <f t="shared" si="9"/>
        <v>73</v>
      </c>
      <c r="D74" s="24">
        <f t="shared" si="10"/>
        <v>41791</v>
      </c>
      <c r="E74" s="25">
        <f t="shared" si="6"/>
        <v>-233.86027625612283</v>
      </c>
      <c r="F74" s="25">
        <f t="shared" si="7"/>
        <v>-1777.6962661058335</v>
      </c>
      <c r="G74" s="25">
        <f t="shared" si="11"/>
        <v>236792.30853785496</v>
      </c>
      <c r="H74" s="56">
        <f t="shared" si="8"/>
        <v>0.94716923415141985</v>
      </c>
    </row>
    <row r="75" spans="3:8" x14ac:dyDescent="0.25">
      <c r="C75">
        <f t="shared" si="9"/>
        <v>74</v>
      </c>
      <c r="D75" s="24">
        <f t="shared" si="10"/>
        <v>41821</v>
      </c>
      <c r="E75" s="25">
        <f t="shared" si="6"/>
        <v>-235.61422832804371</v>
      </c>
      <c r="F75" s="25">
        <f t="shared" si="7"/>
        <v>-1775.9423140339127</v>
      </c>
      <c r="G75" s="25">
        <f t="shared" si="11"/>
        <v>236556.69430952691</v>
      </c>
      <c r="H75" s="56">
        <f t="shared" si="8"/>
        <v>0.94622677723810766</v>
      </c>
    </row>
    <row r="76" spans="3:8" x14ac:dyDescent="0.25">
      <c r="C76">
        <f t="shared" si="9"/>
        <v>75</v>
      </c>
      <c r="D76" s="24">
        <f t="shared" si="10"/>
        <v>41852</v>
      </c>
      <c r="E76" s="25">
        <f t="shared" si="6"/>
        <v>-237.38133504050398</v>
      </c>
      <c r="F76" s="25">
        <f t="shared" si="7"/>
        <v>-1774.1752073214525</v>
      </c>
      <c r="G76" s="25">
        <f t="shared" si="11"/>
        <v>236319.31297448641</v>
      </c>
      <c r="H76" s="56">
        <f t="shared" si="8"/>
        <v>0.94527725189794565</v>
      </c>
    </row>
    <row r="77" spans="3:8" x14ac:dyDescent="0.25">
      <c r="C77">
        <f t="shared" si="9"/>
        <v>76</v>
      </c>
      <c r="D77" s="24">
        <f t="shared" si="10"/>
        <v>41883</v>
      </c>
      <c r="E77" s="25">
        <f t="shared" si="6"/>
        <v>-239.16169505330774</v>
      </c>
      <c r="F77" s="25">
        <f t="shared" si="7"/>
        <v>-1772.3948473086487</v>
      </c>
      <c r="G77" s="25">
        <f t="shared" si="11"/>
        <v>236080.15127943311</v>
      </c>
      <c r="H77" s="56">
        <f t="shared" si="8"/>
        <v>0.94432060511773241</v>
      </c>
    </row>
    <row r="78" spans="3:8" x14ac:dyDescent="0.25">
      <c r="C78">
        <f t="shared" si="9"/>
        <v>77</v>
      </c>
      <c r="D78" s="24">
        <f t="shared" si="10"/>
        <v>41913</v>
      </c>
      <c r="E78" s="25">
        <f t="shared" si="6"/>
        <v>-240.95540776620763</v>
      </c>
      <c r="F78" s="25">
        <f t="shared" si="7"/>
        <v>-1770.6011345957488</v>
      </c>
      <c r="G78" s="25">
        <f t="shared" si="11"/>
        <v>235839.19587166689</v>
      </c>
      <c r="H78" s="56">
        <f t="shared" si="8"/>
        <v>0.94335678348666752</v>
      </c>
    </row>
    <row r="79" spans="3:8" x14ac:dyDescent="0.25">
      <c r="C79">
        <f t="shared" si="9"/>
        <v>78</v>
      </c>
      <c r="D79" s="24">
        <f t="shared" si="10"/>
        <v>41944</v>
      </c>
      <c r="E79" s="25">
        <f t="shared" si="6"/>
        <v>-242.76257332445417</v>
      </c>
      <c r="F79" s="25">
        <f t="shared" si="7"/>
        <v>-1768.7939690375022</v>
      </c>
      <c r="G79" s="25">
        <f t="shared" si="11"/>
        <v>235596.43329834242</v>
      </c>
      <c r="H79" s="56">
        <f t="shared" si="8"/>
        <v>0.94238573319336971</v>
      </c>
    </row>
    <row r="80" spans="3:8" x14ac:dyDescent="0.25">
      <c r="C80">
        <f t="shared" si="9"/>
        <v>79</v>
      </c>
      <c r="D80" s="24">
        <f t="shared" si="10"/>
        <v>41974</v>
      </c>
      <c r="E80" s="25">
        <f t="shared" si="6"/>
        <v>-244.58329262438752</v>
      </c>
      <c r="F80" s="25">
        <f t="shared" si="7"/>
        <v>-1766.9732497375689</v>
      </c>
      <c r="G80" s="25">
        <f t="shared" si="11"/>
        <v>235351.85000571804</v>
      </c>
      <c r="H80" s="56">
        <f t="shared" si="8"/>
        <v>0.94140740002287215</v>
      </c>
    </row>
    <row r="81" spans="3:8" x14ac:dyDescent="0.25">
      <c r="C81">
        <f t="shared" si="9"/>
        <v>80</v>
      </c>
      <c r="D81" s="24">
        <f t="shared" si="10"/>
        <v>42005</v>
      </c>
      <c r="E81" s="25">
        <f t="shared" si="6"/>
        <v>-246.41766731907055</v>
      </c>
      <c r="F81" s="25">
        <f t="shared" si="7"/>
        <v>-1765.138875042886</v>
      </c>
      <c r="G81" s="25">
        <f t="shared" si="11"/>
        <v>235105.43233839897</v>
      </c>
      <c r="H81" s="56">
        <f t="shared" si="8"/>
        <v>0.94042172935359591</v>
      </c>
    </row>
    <row r="82" spans="3:8" x14ac:dyDescent="0.25">
      <c r="C82">
        <f t="shared" si="9"/>
        <v>81</v>
      </c>
      <c r="D82" s="24">
        <f t="shared" si="10"/>
        <v>42036</v>
      </c>
      <c r="E82" s="25">
        <f t="shared" si="6"/>
        <v>-248.26579982396348</v>
      </c>
      <c r="F82" s="25">
        <f t="shared" si="7"/>
        <v>-1763.2907425379929</v>
      </c>
      <c r="G82" s="25">
        <f t="shared" si="11"/>
        <v>234857.16653857499</v>
      </c>
      <c r="H82" s="56">
        <f t="shared" si="8"/>
        <v>0.93942866615429999</v>
      </c>
    </row>
    <row r="83" spans="3:8" x14ac:dyDescent="0.25">
      <c r="C83">
        <f t="shared" si="9"/>
        <v>82</v>
      </c>
      <c r="D83" s="24">
        <f t="shared" si="10"/>
        <v>42064</v>
      </c>
      <c r="E83" s="25">
        <f t="shared" si="6"/>
        <v>-250.12779332264319</v>
      </c>
      <c r="F83" s="25">
        <f t="shared" si="7"/>
        <v>-1761.4287490393133</v>
      </c>
      <c r="G83" s="25">
        <f t="shared" si="11"/>
        <v>234607.03874525236</v>
      </c>
      <c r="H83" s="56">
        <f t="shared" si="8"/>
        <v>0.9384281549810094</v>
      </c>
    </row>
    <row r="84" spans="3:8" x14ac:dyDescent="0.25">
      <c r="C84">
        <f t="shared" si="9"/>
        <v>83</v>
      </c>
      <c r="D84" s="24">
        <f t="shared" si="10"/>
        <v>42095</v>
      </c>
      <c r="E84" s="25">
        <f t="shared" si="6"/>
        <v>-252.00375177256313</v>
      </c>
      <c r="F84" s="25">
        <f t="shared" si="7"/>
        <v>-1759.5527905893932</v>
      </c>
      <c r="G84" s="25">
        <f t="shared" si="11"/>
        <v>234355.03499347979</v>
      </c>
      <c r="H84" s="56">
        <f t="shared" si="8"/>
        <v>0.93742013997391915</v>
      </c>
    </row>
    <row r="85" spans="3:8" x14ac:dyDescent="0.25">
      <c r="C85">
        <f t="shared" si="9"/>
        <v>84</v>
      </c>
      <c r="D85" s="24">
        <f t="shared" si="10"/>
        <v>42125</v>
      </c>
      <c r="E85" s="25">
        <f t="shared" si="6"/>
        <v>-253.89377991085732</v>
      </c>
      <c r="F85" s="25">
        <f t="shared" si="7"/>
        <v>-1757.6627624510991</v>
      </c>
      <c r="G85" s="25">
        <f t="shared" si="11"/>
        <v>234101.14121356892</v>
      </c>
      <c r="H85" s="56">
        <f t="shared" si="8"/>
        <v>0.9364045648542757</v>
      </c>
    </row>
    <row r="86" spans="3:8" x14ac:dyDescent="0.25">
      <c r="C86">
        <f t="shared" si="9"/>
        <v>85</v>
      </c>
      <c r="D86" s="24">
        <f t="shared" si="10"/>
        <v>42156</v>
      </c>
      <c r="E86" s="25">
        <f t="shared" si="6"/>
        <v>-255.79798326018872</v>
      </c>
      <c r="F86" s="25">
        <f t="shared" si="7"/>
        <v>-1755.7585591017678</v>
      </c>
      <c r="G86" s="25">
        <f t="shared" si="11"/>
        <v>233845.34323030873</v>
      </c>
      <c r="H86" s="56">
        <f t="shared" si="8"/>
        <v>0.93538137292123491</v>
      </c>
    </row>
    <row r="87" spans="3:8" x14ac:dyDescent="0.25">
      <c r="C87">
        <f t="shared" si="9"/>
        <v>86</v>
      </c>
      <c r="D87" s="24">
        <f t="shared" si="10"/>
        <v>42186</v>
      </c>
      <c r="E87" s="25">
        <f t="shared" si="6"/>
        <v>-257.71646813464014</v>
      </c>
      <c r="F87" s="25">
        <f t="shared" si="7"/>
        <v>-1753.8400742273163</v>
      </c>
      <c r="G87" s="25">
        <f t="shared" si="11"/>
        <v>233587.6267621741</v>
      </c>
      <c r="H87" s="56">
        <f t="shared" si="8"/>
        <v>0.93435050704869638</v>
      </c>
    </row>
    <row r="88" spans="3:8" x14ac:dyDescent="0.25">
      <c r="C88">
        <f t="shared" si="9"/>
        <v>87</v>
      </c>
      <c r="D88" s="24">
        <f t="shared" si="10"/>
        <v>42217</v>
      </c>
      <c r="E88" s="25">
        <f t="shared" si="6"/>
        <v>-259.64934164564994</v>
      </c>
      <c r="F88" s="25">
        <f t="shared" si="7"/>
        <v>-1751.9072007163065</v>
      </c>
      <c r="G88" s="25">
        <f t="shared" si="11"/>
        <v>233327.97742052845</v>
      </c>
      <c r="H88" s="56">
        <f t="shared" si="8"/>
        <v>0.93331190968211375</v>
      </c>
    </row>
    <row r="89" spans="3:8" x14ac:dyDescent="0.25">
      <c r="C89">
        <f t="shared" si="9"/>
        <v>88</v>
      </c>
      <c r="D89" s="24">
        <f t="shared" si="10"/>
        <v>42248</v>
      </c>
      <c r="E89" s="25">
        <f t="shared" si="6"/>
        <v>-261.59671170799226</v>
      </c>
      <c r="F89" s="25">
        <f t="shared" si="7"/>
        <v>-1749.9598306539642</v>
      </c>
      <c r="G89" s="25">
        <f t="shared" si="11"/>
        <v>233066.38070882045</v>
      </c>
      <c r="H89" s="56">
        <f t="shared" si="8"/>
        <v>0.93226552283528175</v>
      </c>
    </row>
    <row r="90" spans="3:8" x14ac:dyDescent="0.25">
      <c r="C90">
        <f t="shared" si="9"/>
        <v>89</v>
      </c>
      <c r="D90" s="24">
        <f t="shared" si="10"/>
        <v>42278</v>
      </c>
      <c r="E90" s="25">
        <f t="shared" si="6"/>
        <v>-263.55868704580234</v>
      </c>
      <c r="F90" s="25">
        <f t="shared" si="7"/>
        <v>-1747.9978553161541</v>
      </c>
      <c r="G90" s="25">
        <f t="shared" si="11"/>
        <v>232802.82202177466</v>
      </c>
      <c r="H90" s="56">
        <f t="shared" si="8"/>
        <v>0.93121128808709863</v>
      </c>
    </row>
    <row r="91" spans="3:8" x14ac:dyDescent="0.25">
      <c r="C91">
        <f t="shared" si="9"/>
        <v>90</v>
      </c>
      <c r="D91" s="24">
        <f t="shared" si="10"/>
        <v>42309</v>
      </c>
      <c r="E91" s="25">
        <f t="shared" si="6"/>
        <v>-265.53537719864579</v>
      </c>
      <c r="F91" s="25">
        <f t="shared" si="7"/>
        <v>-1746.0211651633106</v>
      </c>
      <c r="G91" s="25">
        <f t="shared" si="11"/>
        <v>232537.286644576</v>
      </c>
      <c r="H91" s="56">
        <f t="shared" si="8"/>
        <v>0.93014914657830405</v>
      </c>
    </row>
    <row r="92" spans="3:8" x14ac:dyDescent="0.25">
      <c r="C92">
        <f t="shared" si="9"/>
        <v>91</v>
      </c>
      <c r="D92" s="24">
        <f t="shared" si="10"/>
        <v>42339</v>
      </c>
      <c r="E92" s="25">
        <f t="shared" si="6"/>
        <v>-267.5268925276356</v>
      </c>
      <c r="F92" s="25">
        <f t="shared" si="7"/>
        <v>-1744.0296498343209</v>
      </c>
      <c r="G92" s="25">
        <f t="shared" si="11"/>
        <v>232269.75975204835</v>
      </c>
      <c r="H92" s="56">
        <f t="shared" si="8"/>
        <v>0.92907903900819344</v>
      </c>
    </row>
    <row r="93" spans="3:8" x14ac:dyDescent="0.25">
      <c r="C93">
        <f t="shared" si="9"/>
        <v>92</v>
      </c>
      <c r="D93" s="24">
        <f t="shared" si="10"/>
        <v>42370</v>
      </c>
      <c r="E93" s="25">
        <f t="shared" si="6"/>
        <v>-269.53334422159281</v>
      </c>
      <c r="F93" s="25">
        <f t="shared" si="7"/>
        <v>-1742.0231981403635</v>
      </c>
      <c r="G93" s="25">
        <f t="shared" si="11"/>
        <v>232000.22640782676</v>
      </c>
      <c r="H93" s="56">
        <f t="shared" si="8"/>
        <v>0.92800090563130699</v>
      </c>
    </row>
    <row r="94" spans="3:8" x14ac:dyDescent="0.25">
      <c r="C94">
        <f t="shared" si="9"/>
        <v>93</v>
      </c>
      <c r="D94" s="24">
        <f t="shared" si="10"/>
        <v>42401</v>
      </c>
      <c r="E94" s="25">
        <f t="shared" si="6"/>
        <v>-271.55484430325481</v>
      </c>
      <c r="F94" s="25">
        <f t="shared" si="7"/>
        <v>-1740.0016980587015</v>
      </c>
      <c r="G94" s="25">
        <f t="shared" si="11"/>
        <v>231728.6715635235</v>
      </c>
      <c r="H94" s="56">
        <f t="shared" si="8"/>
        <v>0.92691468625409401</v>
      </c>
    </row>
    <row r="95" spans="3:8" x14ac:dyDescent="0.25">
      <c r="C95">
        <f t="shared" si="9"/>
        <v>94</v>
      </c>
      <c r="D95" s="24">
        <f t="shared" si="10"/>
        <v>42430</v>
      </c>
      <c r="E95" s="25">
        <f t="shared" si="6"/>
        <v>-273.59150563552924</v>
      </c>
      <c r="F95" s="25">
        <f t="shared" si="7"/>
        <v>-1737.9650367264271</v>
      </c>
      <c r="G95" s="25">
        <f t="shared" si="11"/>
        <v>231455.08005788797</v>
      </c>
      <c r="H95" s="56">
        <f t="shared" si="8"/>
        <v>0.92582032023155192</v>
      </c>
    </row>
    <row r="96" spans="3:8" x14ac:dyDescent="0.25">
      <c r="C96">
        <f t="shared" si="9"/>
        <v>95</v>
      </c>
      <c r="D96" s="24">
        <f t="shared" si="10"/>
        <v>42461</v>
      </c>
      <c r="E96" s="25">
        <f t="shared" si="6"/>
        <v>-275.64344192779572</v>
      </c>
      <c r="F96" s="25">
        <f t="shared" si="7"/>
        <v>-1735.9131004341607</v>
      </c>
      <c r="G96" s="25">
        <f t="shared" si="11"/>
        <v>231179.43661596018</v>
      </c>
      <c r="H96" s="56">
        <f t="shared" si="8"/>
        <v>0.92471774646384075</v>
      </c>
    </row>
    <row r="97" spans="3:8" x14ac:dyDescent="0.25">
      <c r="C97">
        <f t="shared" si="9"/>
        <v>96</v>
      </c>
      <c r="D97" s="24">
        <f t="shared" si="10"/>
        <v>42491</v>
      </c>
      <c r="E97" s="25">
        <f t="shared" si="6"/>
        <v>-277.71076774225412</v>
      </c>
      <c r="F97" s="25">
        <f t="shared" si="7"/>
        <v>-1733.8457746197023</v>
      </c>
      <c r="G97" s="25">
        <f t="shared" si="11"/>
        <v>230901.72584821793</v>
      </c>
      <c r="H97" s="56">
        <f t="shared" si="8"/>
        <v>0.92360690339287177</v>
      </c>
    </row>
    <row r="98" spans="3:8" x14ac:dyDescent="0.25">
      <c r="C98">
        <f t="shared" si="9"/>
        <v>97</v>
      </c>
      <c r="D98" s="24">
        <f t="shared" si="10"/>
        <v>42522</v>
      </c>
      <c r="E98" s="25">
        <f t="shared" si="6"/>
        <v>-279.79359850032102</v>
      </c>
      <c r="F98" s="25">
        <f t="shared" si="7"/>
        <v>-1731.7629438616354</v>
      </c>
      <c r="G98" s="25">
        <f t="shared" si="11"/>
        <v>230621.93224971762</v>
      </c>
      <c r="H98" s="56">
        <f t="shared" si="8"/>
        <v>0.92248772899887044</v>
      </c>
    </row>
    <row r="99" spans="3:8" x14ac:dyDescent="0.25">
      <c r="C99">
        <f t="shared" si="9"/>
        <v>98</v>
      </c>
      <c r="D99" s="24">
        <f t="shared" si="10"/>
        <v>42552</v>
      </c>
      <c r="E99" s="25">
        <f t="shared" si="6"/>
        <v>-281.89205048907348</v>
      </c>
      <c r="F99" s="25">
        <f t="shared" si="7"/>
        <v>-1729.664491872883</v>
      </c>
      <c r="G99" s="25">
        <f t="shared" si="11"/>
        <v>230340.04019922853</v>
      </c>
      <c r="H99" s="56">
        <f t="shared" si="8"/>
        <v>0.92136016079691418</v>
      </c>
    </row>
    <row r="100" spans="3:8" x14ac:dyDescent="0.25">
      <c r="C100">
        <f t="shared" si="9"/>
        <v>99</v>
      </c>
      <c r="D100" s="24">
        <f t="shared" si="10"/>
        <v>42583</v>
      </c>
      <c r="E100" s="25">
        <f t="shared" si="6"/>
        <v>-284.0062408677415</v>
      </c>
      <c r="F100" s="25">
        <f t="shared" si="7"/>
        <v>-1727.5503014942149</v>
      </c>
      <c r="G100" s="25">
        <f t="shared" si="11"/>
        <v>230056.03395836079</v>
      </c>
      <c r="H100" s="56">
        <f t="shared" si="8"/>
        <v>0.92022413583344309</v>
      </c>
    </row>
    <row r="101" spans="3:8" x14ac:dyDescent="0.25">
      <c r="C101">
        <f t="shared" si="9"/>
        <v>100</v>
      </c>
      <c r="D101" s="24">
        <f t="shared" si="10"/>
        <v>42614</v>
      </c>
      <c r="E101" s="25">
        <f t="shared" si="6"/>
        <v>-286.13628767424956</v>
      </c>
      <c r="F101" s="25">
        <f t="shared" si="7"/>
        <v>-1725.4202546877068</v>
      </c>
      <c r="G101" s="25">
        <f t="shared" si="11"/>
        <v>229769.89767068654</v>
      </c>
      <c r="H101" s="56">
        <f t="shared" si="8"/>
        <v>0.91907959068274614</v>
      </c>
    </row>
    <row r="102" spans="3:8" x14ac:dyDescent="0.25">
      <c r="C102">
        <f t="shared" si="9"/>
        <v>101</v>
      </c>
      <c r="D102" s="24">
        <f t="shared" si="10"/>
        <v>42644</v>
      </c>
      <c r="E102" s="25">
        <f t="shared" si="6"/>
        <v>-288.28230983180651</v>
      </c>
      <c r="F102" s="25">
        <f t="shared" si="7"/>
        <v>-1723.2742325301499</v>
      </c>
      <c r="G102" s="25">
        <f t="shared" si="11"/>
        <v>229481.61536085472</v>
      </c>
      <c r="H102" s="56">
        <f t="shared" si="8"/>
        <v>0.91792646144341883</v>
      </c>
    </row>
    <row r="103" spans="3:8" x14ac:dyDescent="0.25">
      <c r="C103">
        <f t="shared" si="9"/>
        <v>102</v>
      </c>
      <c r="D103" s="24">
        <f t="shared" si="10"/>
        <v>42675</v>
      </c>
      <c r="E103" s="25">
        <f t="shared" si="6"/>
        <v>-290.44442715554504</v>
      </c>
      <c r="F103" s="25">
        <f t="shared" si="7"/>
        <v>-1721.1121152064113</v>
      </c>
      <c r="G103" s="25">
        <f t="shared" si="11"/>
        <v>229191.17093369918</v>
      </c>
      <c r="H103" s="56">
        <f t="shared" si="8"/>
        <v>0.91676468373479669</v>
      </c>
    </row>
    <row r="104" spans="3:8" x14ac:dyDescent="0.25">
      <c r="C104">
        <f t="shared" si="9"/>
        <v>103</v>
      </c>
      <c r="D104" s="24">
        <f t="shared" si="10"/>
        <v>42705</v>
      </c>
      <c r="E104" s="25">
        <f t="shared" si="6"/>
        <v>-292.62276035921167</v>
      </c>
      <c r="F104" s="25">
        <f t="shared" si="7"/>
        <v>-1718.9337820027447</v>
      </c>
      <c r="G104" s="25">
        <f t="shared" si="11"/>
        <v>228898.54817333998</v>
      </c>
      <c r="H104" s="56">
        <f t="shared" si="8"/>
        <v>0.91559419269335995</v>
      </c>
    </row>
    <row r="105" spans="3:8" x14ac:dyDescent="0.25">
      <c r="C105">
        <f t="shared" si="9"/>
        <v>104</v>
      </c>
      <c r="D105" s="24">
        <f t="shared" si="10"/>
        <v>42736</v>
      </c>
      <c r="E105" s="25">
        <f t="shared" si="6"/>
        <v>-294.81743106190567</v>
      </c>
      <c r="F105" s="25">
        <f t="shared" si="7"/>
        <v>-1716.7391113000508</v>
      </c>
      <c r="G105" s="25">
        <f t="shared" si="11"/>
        <v>228603.73074227807</v>
      </c>
      <c r="H105" s="56">
        <f t="shared" si="8"/>
        <v>0.91441492296911231</v>
      </c>
    </row>
    <row r="106" spans="3:8" x14ac:dyDescent="0.25">
      <c r="C106">
        <f t="shared" si="9"/>
        <v>105</v>
      </c>
      <c r="D106" s="24">
        <f t="shared" si="10"/>
        <v>42767</v>
      </c>
      <c r="E106" s="25">
        <f t="shared" si="6"/>
        <v>-297.02856179486997</v>
      </c>
      <c r="F106" s="25">
        <f t="shared" si="7"/>
        <v>-1714.5279805670864</v>
      </c>
      <c r="G106" s="25">
        <f t="shared" si="11"/>
        <v>228306.7021804832</v>
      </c>
      <c r="H106" s="56">
        <f t="shared" si="8"/>
        <v>0.91322680872193285</v>
      </c>
    </row>
    <row r="107" spans="3:8" x14ac:dyDescent="0.25">
      <c r="C107">
        <f t="shared" si="9"/>
        <v>106</v>
      </c>
      <c r="D107" s="24">
        <f t="shared" si="10"/>
        <v>42795</v>
      </c>
      <c r="E107" s="25">
        <f t="shared" si="6"/>
        <v>-299.25627600833155</v>
      </c>
      <c r="F107" s="25">
        <f t="shared" si="7"/>
        <v>-1712.3002663536249</v>
      </c>
      <c r="G107" s="25">
        <f t="shared" si="11"/>
        <v>228007.44590447488</v>
      </c>
      <c r="H107" s="56">
        <f t="shared" si="8"/>
        <v>0.91202978361789955</v>
      </c>
    </row>
    <row r="108" spans="3:8" x14ac:dyDescent="0.25">
      <c r="C108">
        <f t="shared" si="9"/>
        <v>107</v>
      </c>
      <c r="D108" s="24">
        <f t="shared" si="10"/>
        <v>42826</v>
      </c>
      <c r="E108" s="25">
        <f t="shared" si="6"/>
        <v>-301.50069807839401</v>
      </c>
      <c r="F108" s="25">
        <f t="shared" si="7"/>
        <v>-1710.0558442835625</v>
      </c>
      <c r="G108" s="25">
        <f t="shared" si="11"/>
        <v>227705.94520639649</v>
      </c>
      <c r="H108" s="56">
        <f t="shared" si="8"/>
        <v>0.9108237808255859</v>
      </c>
    </row>
    <row r="109" spans="3:8" x14ac:dyDescent="0.25">
      <c r="C109">
        <f t="shared" si="9"/>
        <v>108</v>
      </c>
      <c r="D109" s="24">
        <f t="shared" si="10"/>
        <v>42856</v>
      </c>
      <c r="E109" s="25">
        <f t="shared" si="6"/>
        <v>-303.76195331398196</v>
      </c>
      <c r="F109" s="25">
        <f t="shared" si="7"/>
        <v>-1707.7945890479746</v>
      </c>
      <c r="G109" s="25">
        <f t="shared" si="11"/>
        <v>227402.1832530825</v>
      </c>
      <c r="H109" s="56">
        <f t="shared" si="8"/>
        <v>0.90960873301233003</v>
      </c>
    </row>
    <row r="110" spans="3:8" x14ac:dyDescent="0.25">
      <c r="C110">
        <f t="shared" si="9"/>
        <v>109</v>
      </c>
      <c r="D110" s="24">
        <f t="shared" si="10"/>
        <v>42887</v>
      </c>
      <c r="E110" s="25">
        <f t="shared" si="6"/>
        <v>-306.04016796383678</v>
      </c>
      <c r="F110" s="25">
        <f t="shared" si="7"/>
        <v>-1705.5163743981198</v>
      </c>
      <c r="G110" s="25">
        <f t="shared" si="11"/>
        <v>227096.14308511867</v>
      </c>
      <c r="H110" s="56">
        <f t="shared" si="8"/>
        <v>0.90838457234047465</v>
      </c>
    </row>
    <row r="111" spans="3:8" x14ac:dyDescent="0.25">
      <c r="C111">
        <f t="shared" si="9"/>
        <v>110</v>
      </c>
      <c r="D111" s="24">
        <f t="shared" si="10"/>
        <v>42917</v>
      </c>
      <c r="E111" s="25">
        <f t="shared" si="6"/>
        <v>-308.33546922356561</v>
      </c>
      <c r="F111" s="25">
        <f t="shared" si="7"/>
        <v>-1703.2210731383907</v>
      </c>
      <c r="G111" s="25">
        <f t="shared" si="11"/>
        <v>226787.80761589512</v>
      </c>
      <c r="H111" s="56">
        <f t="shared" si="8"/>
        <v>0.90715123046358048</v>
      </c>
    </row>
    <row r="112" spans="3:8" x14ac:dyDescent="0.25">
      <c r="C112">
        <f t="shared" si="9"/>
        <v>111</v>
      </c>
      <c r="D112" s="24">
        <f t="shared" si="10"/>
        <v>42948</v>
      </c>
      <c r="E112" s="25">
        <f t="shared" si="6"/>
        <v>-310.64798524274238</v>
      </c>
      <c r="F112" s="25">
        <f t="shared" si="7"/>
        <v>-1700.908557119214</v>
      </c>
      <c r="G112" s="25">
        <f t="shared" si="11"/>
        <v>226477.15963065237</v>
      </c>
      <c r="H112" s="56">
        <f t="shared" si="8"/>
        <v>0.9059086385226095</v>
      </c>
    </row>
    <row r="113" spans="3:8" x14ac:dyDescent="0.25">
      <c r="C113">
        <f t="shared" si="9"/>
        <v>112</v>
      </c>
      <c r="D113" s="24">
        <f t="shared" si="10"/>
        <v>42979</v>
      </c>
      <c r="E113" s="25">
        <f t="shared" si="6"/>
        <v>-312.9778451320629</v>
      </c>
      <c r="F113" s="25">
        <f t="shared" si="7"/>
        <v>-1698.5786972298936</v>
      </c>
      <c r="G113" s="25">
        <f t="shared" si="11"/>
        <v>226164.18178552031</v>
      </c>
      <c r="H113" s="56">
        <f t="shared" si="8"/>
        <v>0.90465672714208123</v>
      </c>
    </row>
    <row r="114" spans="3:8" x14ac:dyDescent="0.25">
      <c r="C114">
        <f t="shared" si="9"/>
        <v>113</v>
      </c>
      <c r="D114" s="24">
        <f t="shared" si="10"/>
        <v>43009</v>
      </c>
      <c r="E114" s="25">
        <f t="shared" si="6"/>
        <v>-315.3251789705534</v>
      </c>
      <c r="F114" s="25">
        <f t="shared" si="7"/>
        <v>-1696.231363391403</v>
      </c>
      <c r="G114" s="25">
        <f t="shared" si="11"/>
        <v>225848.85660654976</v>
      </c>
      <c r="H114" s="56">
        <f t="shared" si="8"/>
        <v>0.90339542642619908</v>
      </c>
    </row>
    <row r="115" spans="3:8" x14ac:dyDescent="0.25">
      <c r="C115">
        <f t="shared" si="9"/>
        <v>114</v>
      </c>
      <c r="D115" s="24">
        <f t="shared" si="10"/>
        <v>43040</v>
      </c>
      <c r="E115" s="25">
        <f t="shared" si="6"/>
        <v>-317.69011781283257</v>
      </c>
      <c r="F115" s="25">
        <f t="shared" si="7"/>
        <v>-1693.8664245491238</v>
      </c>
      <c r="G115" s="25">
        <f t="shared" si="11"/>
        <v>225531.16648873693</v>
      </c>
      <c r="H115" s="56">
        <f t="shared" si="8"/>
        <v>0.90212466595494767</v>
      </c>
    </row>
    <row r="116" spans="3:8" x14ac:dyDescent="0.25">
      <c r="C116">
        <f t="shared" si="9"/>
        <v>115</v>
      </c>
      <c r="D116" s="24">
        <f t="shared" si="10"/>
        <v>43070</v>
      </c>
      <c r="E116" s="25">
        <f t="shared" si="6"/>
        <v>-320.07279369642873</v>
      </c>
      <c r="F116" s="25">
        <f t="shared" si="7"/>
        <v>-1691.4837486655276</v>
      </c>
      <c r="G116" s="25">
        <f t="shared" si="11"/>
        <v>225211.0936950405</v>
      </c>
      <c r="H116" s="56">
        <f t="shared" si="8"/>
        <v>0.90084437478016199</v>
      </c>
    </row>
    <row r="117" spans="3:8" x14ac:dyDescent="0.25">
      <c r="C117">
        <f t="shared" si="9"/>
        <v>116</v>
      </c>
      <c r="D117" s="24">
        <f t="shared" si="10"/>
        <v>43101</v>
      </c>
      <c r="E117" s="25">
        <f t="shared" si="6"/>
        <v>-322.47333964915197</v>
      </c>
      <c r="F117" s="25">
        <f t="shared" si="7"/>
        <v>-1689.0832027128045</v>
      </c>
      <c r="G117" s="25">
        <f t="shared" si="11"/>
        <v>224888.62035539135</v>
      </c>
      <c r="H117" s="56">
        <f t="shared" si="8"/>
        <v>0.89955448142156536</v>
      </c>
    </row>
    <row r="118" spans="3:8" x14ac:dyDescent="0.25">
      <c r="C118">
        <f t="shared" si="9"/>
        <v>117</v>
      </c>
      <c r="D118" s="24">
        <f t="shared" si="10"/>
        <v>43132</v>
      </c>
      <c r="E118" s="25">
        <f t="shared" si="6"/>
        <v>-324.89188969652059</v>
      </c>
      <c r="F118" s="25">
        <f t="shared" si="7"/>
        <v>-1686.6646526654358</v>
      </c>
      <c r="G118" s="25">
        <f t="shared" si="11"/>
        <v>224563.72846569482</v>
      </c>
      <c r="H118" s="56">
        <f t="shared" si="8"/>
        <v>0.89825491386277923</v>
      </c>
    </row>
    <row r="119" spans="3:8" x14ac:dyDescent="0.25">
      <c r="C119">
        <f t="shared" si="9"/>
        <v>118</v>
      </c>
      <c r="D119" s="24">
        <f t="shared" si="10"/>
        <v>43160</v>
      </c>
      <c r="E119" s="25">
        <f t="shared" si="6"/>
        <v>-327.3285788692445</v>
      </c>
      <c r="F119" s="25">
        <f t="shared" si="7"/>
        <v>-1684.227963492712</v>
      </c>
      <c r="G119" s="25">
        <f t="shared" si="11"/>
        <v>224236.39988682559</v>
      </c>
      <c r="H119" s="56">
        <f t="shared" si="8"/>
        <v>0.89694559954730235</v>
      </c>
    </row>
    <row r="120" spans="3:8" x14ac:dyDescent="0.25">
      <c r="C120">
        <f t="shared" si="9"/>
        <v>119</v>
      </c>
      <c r="D120" s="24">
        <f t="shared" si="10"/>
        <v>43191</v>
      </c>
      <c r="E120" s="25">
        <f t="shared" si="6"/>
        <v>-329.78354321076392</v>
      </c>
      <c r="F120" s="25">
        <f t="shared" si="7"/>
        <v>-1681.7729991511924</v>
      </c>
      <c r="G120" s="25">
        <f t="shared" si="11"/>
        <v>223906.61634361482</v>
      </c>
      <c r="H120" s="56">
        <f t="shared" si="8"/>
        <v>0.89562646537445934</v>
      </c>
    </row>
    <row r="121" spans="3:8" x14ac:dyDescent="0.25">
      <c r="C121">
        <f t="shared" si="9"/>
        <v>120</v>
      </c>
      <c r="D121" s="24">
        <f t="shared" si="10"/>
        <v>43221</v>
      </c>
      <c r="E121" s="25">
        <f t="shared" si="6"/>
        <v>-332.25691978484457</v>
      </c>
      <c r="F121" s="25">
        <f t="shared" si="7"/>
        <v>-1679.2996225771119</v>
      </c>
      <c r="G121" s="25">
        <f t="shared" si="11"/>
        <v>223574.35942382997</v>
      </c>
      <c r="H121" s="56">
        <f t="shared" si="8"/>
        <v>0.89429743769531989</v>
      </c>
    </row>
    <row r="122" spans="3:8" x14ac:dyDescent="0.25">
      <c r="C122">
        <f t="shared" si="9"/>
        <v>121</v>
      </c>
      <c r="D122" s="24">
        <f t="shared" si="10"/>
        <v>43252</v>
      </c>
      <c r="E122" s="25">
        <f t="shared" si="6"/>
        <v>-334.74884668323097</v>
      </c>
      <c r="F122" s="25">
        <f t="shared" si="7"/>
        <v>-1676.8076956787254</v>
      </c>
      <c r="G122" s="25">
        <f t="shared" si="11"/>
        <v>223239.61057714673</v>
      </c>
      <c r="H122" s="56">
        <f t="shared" si="8"/>
        <v>0.8929584423085869</v>
      </c>
    </row>
    <row r="123" spans="3:8" x14ac:dyDescent="0.25">
      <c r="C123">
        <f t="shared" si="9"/>
        <v>122</v>
      </c>
      <c r="D123" s="24">
        <f t="shared" si="10"/>
        <v>43282</v>
      </c>
      <c r="E123" s="25">
        <f t="shared" si="6"/>
        <v>-337.25946303335525</v>
      </c>
      <c r="F123" s="25">
        <f t="shared" si="7"/>
        <v>-1674.2970793286013</v>
      </c>
      <c r="G123" s="25">
        <f t="shared" si="11"/>
        <v>222902.35111411338</v>
      </c>
      <c r="H123" s="56">
        <f t="shared" si="8"/>
        <v>0.89160940445645354</v>
      </c>
    </row>
    <row r="124" spans="3:8" x14ac:dyDescent="0.25">
      <c r="C124">
        <f t="shared" si="9"/>
        <v>123</v>
      </c>
      <c r="D124" s="24">
        <f t="shared" si="10"/>
        <v>43313</v>
      </c>
      <c r="E124" s="25">
        <f t="shared" si="6"/>
        <v>-339.78890900610531</v>
      </c>
      <c r="F124" s="25">
        <f t="shared" si="7"/>
        <v>-1671.7676333558511</v>
      </c>
      <c r="G124" s="25">
        <f t="shared" si="11"/>
        <v>222562.56220510727</v>
      </c>
      <c r="H124" s="56">
        <f t="shared" si="8"/>
        <v>0.89025024882042914</v>
      </c>
    </row>
    <row r="125" spans="3:8" x14ac:dyDescent="0.25">
      <c r="C125">
        <f t="shared" si="9"/>
        <v>124</v>
      </c>
      <c r="D125" s="24">
        <f t="shared" si="10"/>
        <v>43344</v>
      </c>
      <c r="E125" s="25">
        <f t="shared" si="6"/>
        <v>-342.3373258236511</v>
      </c>
      <c r="F125" s="25">
        <f t="shared" si="7"/>
        <v>-1669.2192165383053</v>
      </c>
      <c r="G125" s="25">
        <f t="shared" si="11"/>
        <v>222220.22487928363</v>
      </c>
      <c r="H125" s="56">
        <f t="shared" si="8"/>
        <v>0.88888089951713456</v>
      </c>
    </row>
    <row r="126" spans="3:8" x14ac:dyDescent="0.25">
      <c r="C126">
        <f t="shared" si="9"/>
        <v>125</v>
      </c>
      <c r="D126" s="24">
        <f t="shared" si="10"/>
        <v>43374</v>
      </c>
      <c r="E126" s="25">
        <f t="shared" si="6"/>
        <v>-344.90485576732846</v>
      </c>
      <c r="F126" s="25">
        <f t="shared" si="7"/>
        <v>-1666.651686594628</v>
      </c>
      <c r="G126" s="25">
        <f t="shared" si="11"/>
        <v>221875.32002351631</v>
      </c>
      <c r="H126" s="56">
        <f t="shared" si="8"/>
        <v>0.88750128009406526</v>
      </c>
    </row>
    <row r="127" spans="3:8" x14ac:dyDescent="0.25">
      <c r="C127">
        <f t="shared" si="9"/>
        <v>126</v>
      </c>
      <c r="D127" s="24">
        <f t="shared" si="10"/>
        <v>43405</v>
      </c>
      <c r="E127" s="25">
        <f t="shared" si="6"/>
        <v>-347.49164218558343</v>
      </c>
      <c r="F127" s="25">
        <f t="shared" si="7"/>
        <v>-1664.0649001763729</v>
      </c>
      <c r="G127" s="25">
        <f t="shared" si="11"/>
        <v>221527.82838133074</v>
      </c>
      <c r="H127" s="56">
        <f t="shared" si="8"/>
        <v>0.88611131352532291</v>
      </c>
    </row>
    <row r="128" spans="3:8" x14ac:dyDescent="0.25">
      <c r="C128">
        <f t="shared" si="9"/>
        <v>127</v>
      </c>
      <c r="D128" s="24">
        <f t="shared" si="10"/>
        <v>43435</v>
      </c>
      <c r="E128" s="25">
        <f t="shared" si="6"/>
        <v>-350.09782950197535</v>
      </c>
      <c r="F128" s="25">
        <f t="shared" si="7"/>
        <v>-1661.458712859981</v>
      </c>
      <c r="G128" s="25">
        <f t="shared" si="11"/>
        <v>221177.73055182875</v>
      </c>
      <c r="H128" s="56">
        <f t="shared" si="8"/>
        <v>0.88471092220731495</v>
      </c>
    </row>
    <row r="129" spans="3:8" x14ac:dyDescent="0.25">
      <c r="C129">
        <f t="shared" si="9"/>
        <v>128</v>
      </c>
      <c r="D129" s="24">
        <f t="shared" si="10"/>
        <v>43466</v>
      </c>
      <c r="E129" s="25">
        <f t="shared" si="6"/>
        <v>-352.72356322324015</v>
      </c>
      <c r="F129" s="25">
        <f t="shared" si="7"/>
        <v>-1658.8329791387164</v>
      </c>
      <c r="G129" s="25">
        <f t="shared" si="11"/>
        <v>220825.00698860551</v>
      </c>
      <c r="H129" s="56">
        <f t="shared" si="8"/>
        <v>0.88330002795442208</v>
      </c>
    </row>
    <row r="130" spans="3:8" x14ac:dyDescent="0.25">
      <c r="C130">
        <f t="shared" si="9"/>
        <v>129</v>
      </c>
      <c r="D130" s="24">
        <f t="shared" si="10"/>
        <v>43497</v>
      </c>
      <c r="E130" s="25">
        <f t="shared" si="6"/>
        <v>-355.36898994741443</v>
      </c>
      <c r="F130" s="25">
        <f t="shared" si="7"/>
        <v>-1656.1875524145421</v>
      </c>
      <c r="G130" s="25">
        <f t="shared" si="11"/>
        <v>220469.63799865809</v>
      </c>
      <c r="H130" s="56">
        <f t="shared" si="8"/>
        <v>0.88187855199463239</v>
      </c>
    </row>
    <row r="131" spans="3:8" x14ac:dyDescent="0.25">
      <c r="C131">
        <f t="shared" si="9"/>
        <v>130</v>
      </c>
      <c r="D131" s="24">
        <f t="shared" si="10"/>
        <v>43525</v>
      </c>
      <c r="E131" s="25">
        <f t="shared" ref="E131:E194" si="12">PPMT($A$9/12,C131,$A$6,$A$3)</f>
        <v>-358.03425737202008</v>
      </c>
      <c r="F131" s="25">
        <f t="shared" ref="F131:F194" si="13">$A$15-E131</f>
        <v>-1653.5222849899365</v>
      </c>
      <c r="G131" s="25">
        <f t="shared" si="11"/>
        <v>220111.60374128606</v>
      </c>
      <c r="H131" s="56">
        <f t="shared" ref="H131:H194" si="14">G131/$A$3</f>
        <v>0.8804464149651442</v>
      </c>
    </row>
    <row r="132" spans="3:8" x14ac:dyDescent="0.25">
      <c r="C132">
        <f t="shared" ref="C132:C195" si="15">C131+1</f>
        <v>131</v>
      </c>
      <c r="D132" s="24">
        <f t="shared" ref="D132:D195" si="16">EDATE(D131,1)</f>
        <v>43556</v>
      </c>
      <c r="E132" s="25">
        <f t="shared" si="12"/>
        <v>-360.71951430231024</v>
      </c>
      <c r="F132" s="25">
        <f t="shared" si="13"/>
        <v>-1650.8370280596462</v>
      </c>
      <c r="G132" s="25">
        <f t="shared" ref="G132:G195" si="17">G131+E132</f>
        <v>219750.88422698376</v>
      </c>
      <c r="H132" s="56">
        <f t="shared" si="14"/>
        <v>0.87900353690793509</v>
      </c>
    </row>
    <row r="133" spans="3:8" x14ac:dyDescent="0.25">
      <c r="C133">
        <f t="shared" si="15"/>
        <v>132</v>
      </c>
      <c r="D133" s="24">
        <f t="shared" si="16"/>
        <v>43586</v>
      </c>
      <c r="E133" s="25">
        <f t="shared" si="12"/>
        <v>-363.42491065957756</v>
      </c>
      <c r="F133" s="25">
        <f t="shared" si="13"/>
        <v>-1648.1316317023789</v>
      </c>
      <c r="G133" s="25">
        <f t="shared" si="17"/>
        <v>219387.45931632418</v>
      </c>
      <c r="H133" s="56">
        <f t="shared" si="14"/>
        <v>0.87754983726529667</v>
      </c>
    </row>
    <row r="134" spans="3:8" x14ac:dyDescent="0.25">
      <c r="C134">
        <f t="shared" si="15"/>
        <v>133</v>
      </c>
      <c r="D134" s="24">
        <f t="shared" si="16"/>
        <v>43617</v>
      </c>
      <c r="E134" s="25">
        <f t="shared" si="12"/>
        <v>-366.15059748952433</v>
      </c>
      <c r="F134" s="25">
        <f t="shared" si="13"/>
        <v>-1645.405944872432</v>
      </c>
      <c r="G134" s="25">
        <f t="shared" si="17"/>
        <v>219021.30871883465</v>
      </c>
      <c r="H134" s="56">
        <f t="shared" si="14"/>
        <v>0.87608523487533863</v>
      </c>
    </row>
    <row r="135" spans="3:8" x14ac:dyDescent="0.25">
      <c r="C135">
        <f t="shared" si="15"/>
        <v>134</v>
      </c>
      <c r="D135" s="24">
        <f t="shared" si="16"/>
        <v>43647</v>
      </c>
      <c r="E135" s="25">
        <f t="shared" si="12"/>
        <v>-368.89672697069585</v>
      </c>
      <c r="F135" s="25">
        <f t="shared" si="13"/>
        <v>-1642.6598153912605</v>
      </c>
      <c r="G135" s="25">
        <f t="shared" si="17"/>
        <v>218652.41199186395</v>
      </c>
      <c r="H135" s="56">
        <f t="shared" si="14"/>
        <v>0.87460964796745577</v>
      </c>
    </row>
    <row r="136" spans="3:8" x14ac:dyDescent="0.25">
      <c r="C136">
        <f t="shared" si="15"/>
        <v>135</v>
      </c>
      <c r="D136" s="24">
        <f t="shared" si="16"/>
        <v>43678</v>
      </c>
      <c r="E136" s="25">
        <f t="shared" si="12"/>
        <v>-371.66345242297609</v>
      </c>
      <c r="F136" s="25">
        <f t="shared" si="13"/>
        <v>-1639.8930899389802</v>
      </c>
      <c r="G136" s="25">
        <f t="shared" si="17"/>
        <v>218280.74853944097</v>
      </c>
      <c r="H136" s="56">
        <f t="shared" si="14"/>
        <v>0.87312299415776384</v>
      </c>
    </row>
    <row r="137" spans="3:8" x14ac:dyDescent="0.25">
      <c r="C137">
        <f t="shared" si="15"/>
        <v>136</v>
      </c>
      <c r="D137" s="24">
        <f t="shared" si="16"/>
        <v>43709</v>
      </c>
      <c r="E137" s="25">
        <f t="shared" si="12"/>
        <v>-374.45092831614835</v>
      </c>
      <c r="F137" s="25">
        <f t="shared" si="13"/>
        <v>-1637.1056140458081</v>
      </c>
      <c r="G137" s="25">
        <f t="shared" si="17"/>
        <v>217906.29761112481</v>
      </c>
      <c r="H137" s="56">
        <f t="shared" si="14"/>
        <v>0.87162519044449926</v>
      </c>
    </row>
    <row r="138" spans="3:8" x14ac:dyDescent="0.25">
      <c r="C138">
        <f t="shared" si="15"/>
        <v>137</v>
      </c>
      <c r="D138" s="24">
        <f t="shared" si="16"/>
        <v>43739</v>
      </c>
      <c r="E138" s="25">
        <f t="shared" si="12"/>
        <v>-377.25931027851942</v>
      </c>
      <c r="F138" s="25">
        <f t="shared" si="13"/>
        <v>-1634.2972320834369</v>
      </c>
      <c r="G138" s="25">
        <f t="shared" si="17"/>
        <v>217529.0383008463</v>
      </c>
      <c r="H138" s="56">
        <f t="shared" si="14"/>
        <v>0.8701161532033852</v>
      </c>
    </row>
    <row r="139" spans="3:8" x14ac:dyDescent="0.25">
      <c r="C139">
        <f t="shared" si="15"/>
        <v>138</v>
      </c>
      <c r="D139" s="24">
        <f t="shared" si="16"/>
        <v>43770</v>
      </c>
      <c r="E139" s="25">
        <f t="shared" si="12"/>
        <v>-380.0887551056083</v>
      </c>
      <c r="F139" s="25">
        <f t="shared" si="13"/>
        <v>-1631.4677872563482</v>
      </c>
      <c r="G139" s="25">
        <f t="shared" si="17"/>
        <v>217148.94954574067</v>
      </c>
      <c r="H139" s="56">
        <f t="shared" si="14"/>
        <v>0.86859579818296273</v>
      </c>
    </row>
    <row r="140" spans="3:8" x14ac:dyDescent="0.25">
      <c r="C140">
        <f t="shared" si="15"/>
        <v>139</v>
      </c>
      <c r="D140" s="24">
        <f t="shared" si="16"/>
        <v>43800</v>
      </c>
      <c r="E140" s="25">
        <f t="shared" si="12"/>
        <v>-382.93942076890045</v>
      </c>
      <c r="F140" s="25">
        <f t="shared" si="13"/>
        <v>-1628.617121593056</v>
      </c>
      <c r="G140" s="25">
        <f t="shared" si="17"/>
        <v>216766.01012497177</v>
      </c>
      <c r="H140" s="56">
        <f t="shared" si="14"/>
        <v>0.86706404049988706</v>
      </c>
    </row>
    <row r="141" spans="3:8" x14ac:dyDescent="0.25">
      <c r="C141">
        <f t="shared" si="15"/>
        <v>140</v>
      </c>
      <c r="D141" s="24">
        <f t="shared" si="16"/>
        <v>43831</v>
      </c>
      <c r="E141" s="25">
        <f t="shared" si="12"/>
        <v>-385.81146642466717</v>
      </c>
      <c r="F141" s="25">
        <f t="shared" si="13"/>
        <v>-1625.7450759372891</v>
      </c>
      <c r="G141" s="25">
        <f t="shared" si="17"/>
        <v>216380.1986585471</v>
      </c>
      <c r="H141" s="56">
        <f t="shared" si="14"/>
        <v>0.86552079463418841</v>
      </c>
    </row>
    <row r="142" spans="3:8" x14ac:dyDescent="0.25">
      <c r="C142">
        <f t="shared" si="15"/>
        <v>141</v>
      </c>
      <c r="D142" s="24">
        <f t="shared" si="16"/>
        <v>43862</v>
      </c>
      <c r="E142" s="25">
        <f t="shared" si="12"/>
        <v>-388.70505242285213</v>
      </c>
      <c r="F142" s="25">
        <f t="shared" si="13"/>
        <v>-1622.8514899391043</v>
      </c>
      <c r="G142" s="25">
        <f t="shared" si="17"/>
        <v>215991.49360612425</v>
      </c>
      <c r="H142" s="56">
        <f t="shared" si="14"/>
        <v>0.86396597442449696</v>
      </c>
    </row>
    <row r="143" spans="3:8" x14ac:dyDescent="0.25">
      <c r="C143">
        <f t="shared" si="15"/>
        <v>142</v>
      </c>
      <c r="D143" s="24">
        <f t="shared" si="16"/>
        <v>43891</v>
      </c>
      <c r="E143" s="25">
        <f t="shared" si="12"/>
        <v>-391.62034031602354</v>
      </c>
      <c r="F143" s="25">
        <f t="shared" si="13"/>
        <v>-1619.936202045933</v>
      </c>
      <c r="G143" s="25">
        <f t="shared" si="17"/>
        <v>215599.87326580822</v>
      </c>
      <c r="H143" s="56">
        <f t="shared" si="14"/>
        <v>0.86239949306323282</v>
      </c>
    </row>
    <row r="144" spans="3:8" x14ac:dyDescent="0.25">
      <c r="C144">
        <f t="shared" si="15"/>
        <v>143</v>
      </c>
      <c r="D144" s="24">
        <f t="shared" si="16"/>
        <v>43922</v>
      </c>
      <c r="E144" s="25">
        <f t="shared" si="12"/>
        <v>-394.55749286839381</v>
      </c>
      <c r="F144" s="25">
        <f t="shared" si="13"/>
        <v>-1616.9990494935626</v>
      </c>
      <c r="G144" s="25">
        <f t="shared" si="17"/>
        <v>215205.31577293982</v>
      </c>
      <c r="H144" s="56">
        <f t="shared" si="14"/>
        <v>0.86082126309175933</v>
      </c>
    </row>
    <row r="145" spans="3:8" x14ac:dyDescent="0.25">
      <c r="C145">
        <f t="shared" si="15"/>
        <v>144</v>
      </c>
      <c r="D145" s="24">
        <f t="shared" si="16"/>
        <v>43952</v>
      </c>
      <c r="E145" s="25">
        <f t="shared" si="12"/>
        <v>-397.51667406490668</v>
      </c>
      <c r="F145" s="25">
        <f t="shared" si="13"/>
        <v>-1614.0398682970497</v>
      </c>
      <c r="G145" s="25">
        <f t="shared" si="17"/>
        <v>214807.79909887491</v>
      </c>
      <c r="H145" s="56">
        <f t="shared" si="14"/>
        <v>0.85923119639549961</v>
      </c>
    </row>
    <row r="146" spans="3:8" x14ac:dyDescent="0.25">
      <c r="C146">
        <f t="shared" si="15"/>
        <v>145</v>
      </c>
      <c r="D146" s="24">
        <f t="shared" si="16"/>
        <v>43983</v>
      </c>
      <c r="E146" s="25">
        <f t="shared" si="12"/>
        <v>-400.49804912039355</v>
      </c>
      <c r="F146" s="25">
        <f t="shared" si="13"/>
        <v>-1611.0584932415629</v>
      </c>
      <c r="G146" s="25">
        <f t="shared" si="17"/>
        <v>214407.30104975452</v>
      </c>
      <c r="H146" s="56">
        <f t="shared" si="14"/>
        <v>0.85762920419901811</v>
      </c>
    </row>
    <row r="147" spans="3:8" x14ac:dyDescent="0.25">
      <c r="C147">
        <f t="shared" si="15"/>
        <v>146</v>
      </c>
      <c r="D147" s="24">
        <f t="shared" si="16"/>
        <v>44013</v>
      </c>
      <c r="E147" s="25">
        <f t="shared" si="12"/>
        <v>-403.50178448879643</v>
      </c>
      <c r="F147" s="25">
        <f t="shared" si="13"/>
        <v>-1608.05475787316</v>
      </c>
      <c r="G147" s="25">
        <f t="shared" si="17"/>
        <v>214003.79926526573</v>
      </c>
      <c r="H147" s="56">
        <f t="shared" si="14"/>
        <v>0.85601519706106288</v>
      </c>
    </row>
    <row r="148" spans="3:8" x14ac:dyDescent="0.25">
      <c r="C148">
        <f t="shared" si="15"/>
        <v>147</v>
      </c>
      <c r="D148" s="24">
        <f t="shared" si="16"/>
        <v>44044</v>
      </c>
      <c r="E148" s="25">
        <f t="shared" si="12"/>
        <v>-406.52804787246242</v>
      </c>
      <c r="F148" s="25">
        <f t="shared" si="13"/>
        <v>-1605.0284944894941</v>
      </c>
      <c r="G148" s="25">
        <f t="shared" si="17"/>
        <v>213597.27121739325</v>
      </c>
      <c r="H148" s="56">
        <f t="shared" si="14"/>
        <v>0.85438908486957299</v>
      </c>
    </row>
    <row r="149" spans="3:8" x14ac:dyDescent="0.25">
      <c r="C149">
        <f t="shared" si="15"/>
        <v>148</v>
      </c>
      <c r="D149" s="24">
        <f t="shared" si="16"/>
        <v>44075</v>
      </c>
      <c r="E149" s="25">
        <f t="shared" si="12"/>
        <v>-409.57700823150594</v>
      </c>
      <c r="F149" s="25">
        <f t="shared" si="13"/>
        <v>-1601.9795341304505</v>
      </c>
      <c r="G149" s="25">
        <f t="shared" si="17"/>
        <v>213187.69420916174</v>
      </c>
      <c r="H149" s="56">
        <f t="shared" si="14"/>
        <v>0.85275077683664691</v>
      </c>
    </row>
    <row r="150" spans="3:8" x14ac:dyDescent="0.25">
      <c r="C150">
        <f t="shared" si="15"/>
        <v>149</v>
      </c>
      <c r="D150" s="24">
        <f t="shared" si="16"/>
        <v>44105</v>
      </c>
      <c r="E150" s="25">
        <f t="shared" si="12"/>
        <v>-412.64883579324214</v>
      </c>
      <c r="F150" s="25">
        <f t="shared" si="13"/>
        <v>-1598.9077065687143</v>
      </c>
      <c r="G150" s="25">
        <f t="shared" si="17"/>
        <v>212775.04537336848</v>
      </c>
      <c r="H150" s="56">
        <f t="shared" si="14"/>
        <v>0.85110018149347388</v>
      </c>
    </row>
    <row r="151" spans="3:8" x14ac:dyDescent="0.25">
      <c r="C151">
        <f t="shared" si="15"/>
        <v>150</v>
      </c>
      <c r="D151" s="24">
        <f t="shared" si="16"/>
        <v>44136</v>
      </c>
      <c r="E151" s="25">
        <f t="shared" si="12"/>
        <v>-415.74370206169147</v>
      </c>
      <c r="F151" s="25">
        <f t="shared" si="13"/>
        <v>-1595.812840300265</v>
      </c>
      <c r="G151" s="25">
        <f t="shared" si="17"/>
        <v>212359.30167130681</v>
      </c>
      <c r="H151" s="56">
        <f t="shared" si="14"/>
        <v>0.84943720668522726</v>
      </c>
    </row>
    <row r="152" spans="3:8" x14ac:dyDescent="0.25">
      <c r="C152">
        <f t="shared" si="15"/>
        <v>151</v>
      </c>
      <c r="D152" s="24">
        <f t="shared" si="16"/>
        <v>44166</v>
      </c>
      <c r="E152" s="25">
        <f t="shared" si="12"/>
        <v>-418.86177982715418</v>
      </c>
      <c r="F152" s="25">
        <f t="shared" si="13"/>
        <v>-1592.6947625348023</v>
      </c>
      <c r="G152" s="25">
        <f t="shared" si="17"/>
        <v>211940.43989147965</v>
      </c>
      <c r="H152" s="56">
        <f t="shared" si="14"/>
        <v>0.84776175956591859</v>
      </c>
    </row>
    <row r="153" spans="3:8" x14ac:dyDescent="0.25">
      <c r="C153">
        <f t="shared" si="15"/>
        <v>152</v>
      </c>
      <c r="D153" s="24">
        <f t="shared" si="16"/>
        <v>44197</v>
      </c>
      <c r="E153" s="25">
        <f t="shared" si="12"/>
        <v>-422.00324317585785</v>
      </c>
      <c r="F153" s="25">
        <f t="shared" si="13"/>
        <v>-1589.5532991860987</v>
      </c>
      <c r="G153" s="25">
        <f t="shared" si="17"/>
        <v>211518.43664830379</v>
      </c>
      <c r="H153" s="56">
        <f t="shared" si="14"/>
        <v>0.8460737465932151</v>
      </c>
    </row>
    <row r="154" spans="3:8" x14ac:dyDescent="0.25">
      <c r="C154">
        <f t="shared" si="15"/>
        <v>153</v>
      </c>
      <c r="D154" s="24">
        <f t="shared" si="16"/>
        <v>44228</v>
      </c>
      <c r="E154" s="25">
        <f t="shared" si="12"/>
        <v>-425.16826749967686</v>
      </c>
      <c r="F154" s="25">
        <f t="shared" si="13"/>
        <v>-1586.3882748622796</v>
      </c>
      <c r="G154" s="25">
        <f t="shared" si="17"/>
        <v>211093.2683808041</v>
      </c>
      <c r="H154" s="56">
        <f t="shared" si="14"/>
        <v>0.84437307352321644</v>
      </c>
    </row>
    <row r="155" spans="3:8" x14ac:dyDescent="0.25">
      <c r="C155">
        <f t="shared" si="15"/>
        <v>154</v>
      </c>
      <c r="D155" s="24">
        <f t="shared" si="16"/>
        <v>44256</v>
      </c>
      <c r="E155" s="25">
        <f t="shared" si="12"/>
        <v>-428.35702950592429</v>
      </c>
      <c r="F155" s="25">
        <f t="shared" si="13"/>
        <v>-1583.199512856032</v>
      </c>
      <c r="G155" s="25">
        <f t="shared" si="17"/>
        <v>210664.91135129819</v>
      </c>
      <c r="H155" s="56">
        <f t="shared" si="14"/>
        <v>0.84265964540519278</v>
      </c>
    </row>
    <row r="156" spans="3:8" x14ac:dyDescent="0.25">
      <c r="C156">
        <f t="shared" si="15"/>
        <v>155</v>
      </c>
      <c r="D156" s="24">
        <f t="shared" si="16"/>
        <v>44287</v>
      </c>
      <c r="E156" s="25">
        <f t="shared" si="12"/>
        <v>-431.56970722721883</v>
      </c>
      <c r="F156" s="25">
        <f t="shared" si="13"/>
        <v>-1579.9868351347377</v>
      </c>
      <c r="G156" s="25">
        <f t="shared" si="17"/>
        <v>210233.34164407096</v>
      </c>
      <c r="H156" s="56">
        <f t="shared" si="14"/>
        <v>0.84093336657628381</v>
      </c>
    </row>
    <row r="157" spans="3:8" x14ac:dyDescent="0.25">
      <c r="C157">
        <f t="shared" si="15"/>
        <v>156</v>
      </c>
      <c r="D157" s="24">
        <f t="shared" si="16"/>
        <v>44317</v>
      </c>
      <c r="E157" s="25">
        <f t="shared" si="12"/>
        <v>-434.80648003142301</v>
      </c>
      <c r="F157" s="25">
        <f t="shared" si="13"/>
        <v>-1576.7500623305334</v>
      </c>
      <c r="G157" s="25">
        <f t="shared" si="17"/>
        <v>209798.53516403952</v>
      </c>
      <c r="H157" s="56">
        <f t="shared" si="14"/>
        <v>0.83919414065615805</v>
      </c>
    </row>
    <row r="158" spans="3:8" x14ac:dyDescent="0.25">
      <c r="C158">
        <f t="shared" si="15"/>
        <v>157</v>
      </c>
      <c r="D158" s="24">
        <f t="shared" si="16"/>
        <v>44348</v>
      </c>
      <c r="E158" s="25">
        <f t="shared" si="12"/>
        <v>-438.0675286316586</v>
      </c>
      <c r="F158" s="25">
        <f t="shared" si="13"/>
        <v>-1573.4890137302978</v>
      </c>
      <c r="G158" s="25">
        <f t="shared" si="17"/>
        <v>209360.46763540787</v>
      </c>
      <c r="H158" s="56">
        <f t="shared" si="14"/>
        <v>0.83744187054163144</v>
      </c>
    </row>
    <row r="159" spans="3:8" x14ac:dyDescent="0.25">
      <c r="C159">
        <f t="shared" si="15"/>
        <v>158</v>
      </c>
      <c r="D159" s="24">
        <f t="shared" si="16"/>
        <v>44378</v>
      </c>
      <c r="E159" s="25">
        <f t="shared" si="12"/>
        <v>-441.35303509639601</v>
      </c>
      <c r="F159" s="25">
        <f t="shared" si="13"/>
        <v>-1570.2035072655603</v>
      </c>
      <c r="G159" s="25">
        <f t="shared" si="17"/>
        <v>208919.11460031147</v>
      </c>
      <c r="H159" s="56">
        <f t="shared" si="14"/>
        <v>0.83567645840124583</v>
      </c>
    </row>
    <row r="160" spans="3:8" x14ac:dyDescent="0.25">
      <c r="C160">
        <f t="shared" si="15"/>
        <v>159</v>
      </c>
      <c r="D160" s="24">
        <f t="shared" si="16"/>
        <v>44409</v>
      </c>
      <c r="E160" s="25">
        <f t="shared" si="12"/>
        <v>-444.66318285961904</v>
      </c>
      <c r="F160" s="25">
        <f t="shared" si="13"/>
        <v>-1566.8933595023373</v>
      </c>
      <c r="G160" s="25">
        <f t="shared" si="17"/>
        <v>208474.45141745184</v>
      </c>
      <c r="H160" s="56">
        <f t="shared" si="14"/>
        <v>0.83389780566980731</v>
      </c>
    </row>
    <row r="161" spans="3:8" x14ac:dyDescent="0.25">
      <c r="C161">
        <f t="shared" si="15"/>
        <v>160</v>
      </c>
      <c r="D161" s="24">
        <f t="shared" si="16"/>
        <v>44440</v>
      </c>
      <c r="E161" s="25">
        <f t="shared" si="12"/>
        <v>-447.9981567310661</v>
      </c>
      <c r="F161" s="25">
        <f t="shared" si="13"/>
        <v>-1563.5583856308904</v>
      </c>
      <c r="G161" s="25">
        <f t="shared" si="17"/>
        <v>208026.45326072077</v>
      </c>
      <c r="H161" s="56">
        <f t="shared" si="14"/>
        <v>0.83210581304288311</v>
      </c>
    </row>
    <row r="162" spans="3:8" x14ac:dyDescent="0.25">
      <c r="C162">
        <f t="shared" si="15"/>
        <v>161</v>
      </c>
      <c r="D162" s="24">
        <f t="shared" si="16"/>
        <v>44470</v>
      </c>
      <c r="E162" s="25">
        <f t="shared" si="12"/>
        <v>-451.35814290654918</v>
      </c>
      <c r="F162" s="25">
        <f t="shared" si="13"/>
        <v>-1560.1983994554073</v>
      </c>
      <c r="G162" s="25">
        <f t="shared" si="17"/>
        <v>207575.09511781423</v>
      </c>
      <c r="H162" s="56">
        <f t="shared" si="14"/>
        <v>0.83030038047125687</v>
      </c>
    </row>
    <row r="163" spans="3:8" x14ac:dyDescent="0.25">
      <c r="C163">
        <f t="shared" si="15"/>
        <v>162</v>
      </c>
      <c r="D163" s="24">
        <f t="shared" si="16"/>
        <v>44501</v>
      </c>
      <c r="E163" s="25">
        <f t="shared" si="12"/>
        <v>-454.74332897834825</v>
      </c>
      <c r="F163" s="25">
        <f t="shared" si="13"/>
        <v>-1556.8132133836082</v>
      </c>
      <c r="G163" s="25">
        <f t="shared" si="17"/>
        <v>207120.35178883589</v>
      </c>
      <c r="H163" s="56">
        <f t="shared" si="14"/>
        <v>0.82848140715534357</v>
      </c>
    </row>
    <row r="164" spans="3:8" x14ac:dyDescent="0.25">
      <c r="C164">
        <f t="shared" si="15"/>
        <v>163</v>
      </c>
      <c r="D164" s="24">
        <f t="shared" si="16"/>
        <v>44531</v>
      </c>
      <c r="E164" s="25">
        <f t="shared" si="12"/>
        <v>-458.1539039456859</v>
      </c>
      <c r="F164" s="25">
        <f t="shared" si="13"/>
        <v>-1553.4026384162705</v>
      </c>
      <c r="G164" s="25">
        <f t="shared" si="17"/>
        <v>206662.19788489019</v>
      </c>
      <c r="H164" s="56">
        <f t="shared" si="14"/>
        <v>0.82664879153956072</v>
      </c>
    </row>
    <row r="165" spans="3:8" x14ac:dyDescent="0.25">
      <c r="C165">
        <f t="shared" si="15"/>
        <v>164</v>
      </c>
      <c r="D165" s="24">
        <f t="shared" si="16"/>
        <v>44562</v>
      </c>
      <c r="E165" s="25">
        <f t="shared" si="12"/>
        <v>-461.59005822527854</v>
      </c>
      <c r="F165" s="25">
        <f t="shared" si="13"/>
        <v>-1549.966484136678</v>
      </c>
      <c r="G165" s="25">
        <f t="shared" si="17"/>
        <v>206200.60782666493</v>
      </c>
      <c r="H165" s="56">
        <f t="shared" si="14"/>
        <v>0.82480243130665976</v>
      </c>
    </row>
    <row r="166" spans="3:8" x14ac:dyDescent="0.25">
      <c r="C166">
        <f t="shared" si="15"/>
        <v>165</v>
      </c>
      <c r="D166" s="24">
        <f t="shared" si="16"/>
        <v>44593</v>
      </c>
      <c r="E166" s="25">
        <f t="shared" si="12"/>
        <v>-465.05198366196811</v>
      </c>
      <c r="F166" s="25">
        <f t="shared" si="13"/>
        <v>-1546.5045586999884</v>
      </c>
      <c r="G166" s="25">
        <f t="shared" si="17"/>
        <v>205735.55584300295</v>
      </c>
      <c r="H166" s="56">
        <f t="shared" si="14"/>
        <v>0.82294222337201184</v>
      </c>
    </row>
    <row r="167" spans="3:8" x14ac:dyDescent="0.25">
      <c r="C167">
        <f t="shared" si="15"/>
        <v>166</v>
      </c>
      <c r="D167" s="24">
        <f t="shared" si="16"/>
        <v>44621</v>
      </c>
      <c r="E167" s="25">
        <f t="shared" si="12"/>
        <v>-468.5398735394329</v>
      </c>
      <c r="F167" s="25">
        <f t="shared" si="13"/>
        <v>-1543.0166688225236</v>
      </c>
      <c r="G167" s="25">
        <f t="shared" si="17"/>
        <v>205267.01596946351</v>
      </c>
      <c r="H167" s="56">
        <f t="shared" si="14"/>
        <v>0.82106806387785403</v>
      </c>
    </row>
    <row r="168" spans="3:8" x14ac:dyDescent="0.25">
      <c r="C168">
        <f t="shared" si="15"/>
        <v>167</v>
      </c>
      <c r="D168" s="24">
        <f t="shared" si="16"/>
        <v>44652</v>
      </c>
      <c r="E168" s="25">
        <f t="shared" si="12"/>
        <v>-472.05392259097869</v>
      </c>
      <c r="F168" s="25">
        <f t="shared" si="13"/>
        <v>-1539.5026197709776</v>
      </c>
      <c r="G168" s="25">
        <f t="shared" si="17"/>
        <v>204794.96204687253</v>
      </c>
      <c r="H168" s="56">
        <f t="shared" si="14"/>
        <v>0.81917984818749012</v>
      </c>
    </row>
    <row r="169" spans="3:8" x14ac:dyDescent="0.25">
      <c r="C169">
        <f t="shared" si="15"/>
        <v>168</v>
      </c>
      <c r="D169" s="24">
        <f t="shared" si="16"/>
        <v>44682</v>
      </c>
      <c r="E169" s="25">
        <f t="shared" si="12"/>
        <v>-475.59432701041101</v>
      </c>
      <c r="F169" s="25">
        <f t="shared" si="13"/>
        <v>-1535.9622153515454</v>
      </c>
      <c r="G169" s="25">
        <f t="shared" si="17"/>
        <v>204319.36771986212</v>
      </c>
      <c r="H169" s="56">
        <f t="shared" si="14"/>
        <v>0.81727747087944846</v>
      </c>
    </row>
    <row r="170" spans="3:8" x14ac:dyDescent="0.25">
      <c r="C170">
        <f t="shared" si="15"/>
        <v>169</v>
      </c>
      <c r="D170" s="24">
        <f t="shared" si="16"/>
        <v>44713</v>
      </c>
      <c r="E170" s="25">
        <f t="shared" si="12"/>
        <v>-479.1612844629891</v>
      </c>
      <c r="F170" s="25">
        <f t="shared" si="13"/>
        <v>-1532.3952578989674</v>
      </c>
      <c r="G170" s="25">
        <f t="shared" si="17"/>
        <v>203840.20643539913</v>
      </c>
      <c r="H170" s="56">
        <f t="shared" si="14"/>
        <v>0.81536082574159652</v>
      </c>
    </row>
    <row r="171" spans="3:8" x14ac:dyDescent="0.25">
      <c r="C171">
        <f t="shared" si="15"/>
        <v>170</v>
      </c>
      <c r="D171" s="24">
        <f t="shared" si="16"/>
        <v>44743</v>
      </c>
      <c r="E171" s="25">
        <f t="shared" si="12"/>
        <v>-482.75499409646142</v>
      </c>
      <c r="F171" s="25">
        <f t="shared" si="13"/>
        <v>-1528.8015482654951</v>
      </c>
      <c r="G171" s="25">
        <f t="shared" si="17"/>
        <v>203357.45144130266</v>
      </c>
      <c r="H171" s="56">
        <f t="shared" si="14"/>
        <v>0.81342980576521062</v>
      </c>
    </row>
    <row r="172" spans="3:8" x14ac:dyDescent="0.25">
      <c r="C172">
        <f t="shared" si="15"/>
        <v>171</v>
      </c>
      <c r="D172" s="24">
        <f t="shared" si="16"/>
        <v>44774</v>
      </c>
      <c r="E172" s="25">
        <f t="shared" si="12"/>
        <v>-486.37565655218498</v>
      </c>
      <c r="F172" s="25">
        <f t="shared" si="13"/>
        <v>-1525.1808858097716</v>
      </c>
      <c r="G172" s="25">
        <f t="shared" si="17"/>
        <v>202871.07578475049</v>
      </c>
      <c r="H172" s="56">
        <f t="shared" si="14"/>
        <v>0.81148430313900199</v>
      </c>
    </row>
    <row r="173" spans="3:8" x14ac:dyDescent="0.25">
      <c r="C173">
        <f t="shared" si="15"/>
        <v>172</v>
      </c>
      <c r="D173" s="24">
        <f t="shared" si="16"/>
        <v>44805</v>
      </c>
      <c r="E173" s="25">
        <f t="shared" si="12"/>
        <v>-490.02347397632639</v>
      </c>
      <c r="F173" s="25">
        <f t="shared" si="13"/>
        <v>-1521.53306838563</v>
      </c>
      <c r="G173" s="25">
        <f t="shared" si="17"/>
        <v>202381.05231077416</v>
      </c>
      <c r="H173" s="56">
        <f t="shared" si="14"/>
        <v>0.80952420924309665</v>
      </c>
    </row>
    <row r="174" spans="3:8" x14ac:dyDescent="0.25">
      <c r="C174">
        <f t="shared" si="15"/>
        <v>173</v>
      </c>
      <c r="D174" s="24">
        <f t="shared" si="16"/>
        <v>44835</v>
      </c>
      <c r="E174" s="25">
        <f t="shared" si="12"/>
        <v>-493.69865003114876</v>
      </c>
      <c r="F174" s="25">
        <f t="shared" si="13"/>
        <v>-1517.8578923308078</v>
      </c>
      <c r="G174" s="25">
        <f t="shared" si="17"/>
        <v>201887.35366074301</v>
      </c>
      <c r="H174" s="56">
        <f t="shared" si="14"/>
        <v>0.80754941464297203</v>
      </c>
    </row>
    <row r="175" spans="3:8" x14ac:dyDescent="0.25">
      <c r="C175">
        <f t="shared" si="15"/>
        <v>174</v>
      </c>
      <c r="D175" s="24">
        <f t="shared" si="16"/>
        <v>44866</v>
      </c>
      <c r="E175" s="25">
        <f t="shared" si="12"/>
        <v>-497.40138990638235</v>
      </c>
      <c r="F175" s="25">
        <f t="shared" si="13"/>
        <v>-1514.1551524555741</v>
      </c>
      <c r="G175" s="25">
        <f t="shared" si="17"/>
        <v>201389.95227083663</v>
      </c>
      <c r="H175" s="56">
        <f t="shared" si="14"/>
        <v>0.80555980908334646</v>
      </c>
    </row>
    <row r="176" spans="3:8" x14ac:dyDescent="0.25">
      <c r="C176">
        <f t="shared" si="15"/>
        <v>175</v>
      </c>
      <c r="D176" s="24">
        <f t="shared" si="16"/>
        <v>44896</v>
      </c>
      <c r="E176" s="25">
        <f t="shared" si="12"/>
        <v>-501.13190033068014</v>
      </c>
      <c r="F176" s="25">
        <f t="shared" si="13"/>
        <v>-1510.4246420312763</v>
      </c>
      <c r="G176" s="25">
        <f t="shared" si="17"/>
        <v>200888.82037050594</v>
      </c>
      <c r="H176" s="56">
        <f t="shared" si="14"/>
        <v>0.80355528148202382</v>
      </c>
    </row>
    <row r="177" spans="3:8" x14ac:dyDescent="0.25">
      <c r="C177">
        <f t="shared" si="15"/>
        <v>176</v>
      </c>
      <c r="D177" s="24">
        <f t="shared" si="16"/>
        <v>44927</v>
      </c>
      <c r="E177" s="25">
        <f t="shared" si="12"/>
        <v>-504.8903895831603</v>
      </c>
      <c r="F177" s="25">
        <f t="shared" si="13"/>
        <v>-1506.666152778796</v>
      </c>
      <c r="G177" s="25">
        <f t="shared" si="17"/>
        <v>200383.92998092278</v>
      </c>
      <c r="H177" s="56">
        <f t="shared" si="14"/>
        <v>0.8015357199236911</v>
      </c>
    </row>
    <row r="178" spans="3:8" x14ac:dyDescent="0.25">
      <c r="C178">
        <f t="shared" si="15"/>
        <v>177</v>
      </c>
      <c r="D178" s="24">
        <f t="shared" si="16"/>
        <v>44958</v>
      </c>
      <c r="E178" s="25">
        <f t="shared" si="12"/>
        <v>-508.67706750503413</v>
      </c>
      <c r="F178" s="25">
        <f t="shared" si="13"/>
        <v>-1502.8794748569223</v>
      </c>
      <c r="G178" s="25">
        <f t="shared" si="17"/>
        <v>199875.25291341776</v>
      </c>
      <c r="H178" s="56">
        <f t="shared" si="14"/>
        <v>0.79950101165367105</v>
      </c>
    </row>
    <row r="179" spans="3:8" x14ac:dyDescent="0.25">
      <c r="C179">
        <f t="shared" si="15"/>
        <v>178</v>
      </c>
      <c r="D179" s="24">
        <f t="shared" si="16"/>
        <v>44986</v>
      </c>
      <c r="E179" s="25">
        <f t="shared" si="12"/>
        <v>-512.49214551132172</v>
      </c>
      <c r="F179" s="25">
        <f t="shared" si="13"/>
        <v>-1499.0643968506347</v>
      </c>
      <c r="G179" s="25">
        <f t="shared" si="17"/>
        <v>199362.76076790644</v>
      </c>
      <c r="H179" s="56">
        <f t="shared" si="14"/>
        <v>0.79745104307162573</v>
      </c>
    </row>
    <row r="180" spans="3:8" x14ac:dyDescent="0.25">
      <c r="C180">
        <f t="shared" si="15"/>
        <v>179</v>
      </c>
      <c r="D180" s="24">
        <f t="shared" si="16"/>
        <v>45017</v>
      </c>
      <c r="E180" s="25">
        <f t="shared" si="12"/>
        <v>-516.33583660265674</v>
      </c>
      <c r="F180" s="25">
        <f t="shared" si="13"/>
        <v>-1495.2207057592996</v>
      </c>
      <c r="G180" s="25">
        <f t="shared" si="17"/>
        <v>198846.42493130377</v>
      </c>
      <c r="H180" s="56">
        <f t="shared" si="14"/>
        <v>0.79538569972521511</v>
      </c>
    </row>
    <row r="181" spans="3:8" x14ac:dyDescent="0.25">
      <c r="C181">
        <f t="shared" si="15"/>
        <v>180</v>
      </c>
      <c r="D181" s="24">
        <f t="shared" si="16"/>
        <v>45047</v>
      </c>
      <c r="E181" s="25">
        <f t="shared" si="12"/>
        <v>-520.20835537717664</v>
      </c>
      <c r="F181" s="25">
        <f t="shared" si="13"/>
        <v>-1491.3481869847797</v>
      </c>
      <c r="G181" s="25">
        <f t="shared" si="17"/>
        <v>198326.21657592661</v>
      </c>
      <c r="H181" s="56">
        <f t="shared" si="14"/>
        <v>0.79330486630370645</v>
      </c>
    </row>
    <row r="182" spans="3:8" x14ac:dyDescent="0.25">
      <c r="C182">
        <f t="shared" si="15"/>
        <v>181</v>
      </c>
      <c r="D182" s="24">
        <f t="shared" si="16"/>
        <v>45078</v>
      </c>
      <c r="E182" s="25">
        <f t="shared" si="12"/>
        <v>-524.10991804250546</v>
      </c>
      <c r="F182" s="25">
        <f t="shared" si="13"/>
        <v>-1487.4466243194511</v>
      </c>
      <c r="G182" s="25">
        <f t="shared" si="17"/>
        <v>197802.10665788411</v>
      </c>
      <c r="H182" s="56">
        <f t="shared" si="14"/>
        <v>0.79120842663153645</v>
      </c>
    </row>
    <row r="183" spans="3:8" x14ac:dyDescent="0.25">
      <c r="C183">
        <f t="shared" si="15"/>
        <v>182</v>
      </c>
      <c r="D183" s="24">
        <f t="shared" si="16"/>
        <v>45108</v>
      </c>
      <c r="E183" s="25">
        <f t="shared" si="12"/>
        <v>-528.04074242782428</v>
      </c>
      <c r="F183" s="25">
        <f t="shared" si="13"/>
        <v>-1483.5157999341322</v>
      </c>
      <c r="G183" s="25">
        <f t="shared" si="17"/>
        <v>197274.06591545627</v>
      </c>
      <c r="H183" s="56">
        <f t="shared" si="14"/>
        <v>0.78909626366182506</v>
      </c>
    </row>
    <row r="184" spans="3:8" x14ac:dyDescent="0.25">
      <c r="C184">
        <f t="shared" si="15"/>
        <v>183</v>
      </c>
      <c r="D184" s="24">
        <f t="shared" si="16"/>
        <v>45139</v>
      </c>
      <c r="E184" s="25">
        <f t="shared" si="12"/>
        <v>-532.00104799603287</v>
      </c>
      <c r="F184" s="25">
        <f t="shared" si="13"/>
        <v>-1479.5554943659236</v>
      </c>
      <c r="G184" s="25">
        <f t="shared" si="17"/>
        <v>196742.06486746023</v>
      </c>
      <c r="H184" s="56">
        <f t="shared" si="14"/>
        <v>0.78696825946984095</v>
      </c>
    </row>
    <row r="185" spans="3:8" x14ac:dyDescent="0.25">
      <c r="C185">
        <f t="shared" si="15"/>
        <v>184</v>
      </c>
      <c r="D185" s="24">
        <f t="shared" si="16"/>
        <v>45170</v>
      </c>
      <c r="E185" s="25">
        <f t="shared" si="12"/>
        <v>-535.9910558560033</v>
      </c>
      <c r="F185" s="25">
        <f t="shared" si="13"/>
        <v>-1475.5654865059532</v>
      </c>
      <c r="G185" s="25">
        <f t="shared" si="17"/>
        <v>196206.07381160423</v>
      </c>
      <c r="H185" s="56">
        <f t="shared" si="14"/>
        <v>0.78482429524641695</v>
      </c>
    </row>
    <row r="186" spans="3:8" x14ac:dyDescent="0.25">
      <c r="C186">
        <f t="shared" si="15"/>
        <v>185</v>
      </c>
      <c r="D186" s="24">
        <f t="shared" si="16"/>
        <v>45200</v>
      </c>
      <c r="E186" s="25">
        <f t="shared" si="12"/>
        <v>-540.01098877492325</v>
      </c>
      <c r="F186" s="25">
        <f t="shared" si="13"/>
        <v>-1471.5455535870333</v>
      </c>
      <c r="G186" s="25">
        <f t="shared" si="17"/>
        <v>195666.06282282932</v>
      </c>
      <c r="H186" s="56">
        <f t="shared" si="14"/>
        <v>0.78266425129131734</v>
      </c>
    </row>
    <row r="187" spans="3:8" x14ac:dyDescent="0.25">
      <c r="C187">
        <f t="shared" si="15"/>
        <v>186</v>
      </c>
      <c r="D187" s="24">
        <f t="shared" si="16"/>
        <v>45231</v>
      </c>
      <c r="E187" s="25">
        <f t="shared" si="12"/>
        <v>-544.06107119073511</v>
      </c>
      <c r="F187" s="25">
        <f t="shared" si="13"/>
        <v>-1467.4954711712212</v>
      </c>
      <c r="G187" s="25">
        <f t="shared" si="17"/>
        <v>195122.0017516386</v>
      </c>
      <c r="H187" s="56">
        <f t="shared" si="14"/>
        <v>0.78048800700655441</v>
      </c>
    </row>
    <row r="188" spans="3:8" x14ac:dyDescent="0.25">
      <c r="C188">
        <f t="shared" si="15"/>
        <v>187</v>
      </c>
      <c r="D188" s="24">
        <f t="shared" si="16"/>
        <v>45261</v>
      </c>
      <c r="E188" s="25">
        <f t="shared" si="12"/>
        <v>-548.14152922466565</v>
      </c>
      <c r="F188" s="25">
        <f t="shared" si="13"/>
        <v>-1463.4150131372908</v>
      </c>
      <c r="G188" s="25">
        <f t="shared" si="17"/>
        <v>194573.86022241393</v>
      </c>
      <c r="H188" s="56">
        <f t="shared" si="14"/>
        <v>0.77829544088965574</v>
      </c>
    </row>
    <row r="189" spans="3:8" x14ac:dyDescent="0.25">
      <c r="C189">
        <f t="shared" si="15"/>
        <v>188</v>
      </c>
      <c r="D189" s="24">
        <f t="shared" si="16"/>
        <v>45292</v>
      </c>
      <c r="E189" s="25">
        <f t="shared" si="12"/>
        <v>-552.25259069385072</v>
      </c>
      <c r="F189" s="25">
        <f t="shared" si="13"/>
        <v>-1459.3039516681056</v>
      </c>
      <c r="G189" s="25">
        <f t="shared" si="17"/>
        <v>194021.60763172008</v>
      </c>
      <c r="H189" s="56">
        <f t="shared" si="14"/>
        <v>0.77608643052688031</v>
      </c>
    </row>
    <row r="190" spans="3:8" x14ac:dyDescent="0.25">
      <c r="C190">
        <f t="shared" si="15"/>
        <v>189</v>
      </c>
      <c r="D190" s="24">
        <f t="shared" si="16"/>
        <v>45323</v>
      </c>
      <c r="E190" s="25">
        <f t="shared" si="12"/>
        <v>-556.39448512405454</v>
      </c>
      <c r="F190" s="25">
        <f t="shared" si="13"/>
        <v>-1455.162057237902</v>
      </c>
      <c r="G190" s="25">
        <f t="shared" si="17"/>
        <v>193465.21314659601</v>
      </c>
      <c r="H190" s="56">
        <f t="shared" si="14"/>
        <v>0.77386085258638404</v>
      </c>
    </row>
    <row r="191" spans="3:8" x14ac:dyDescent="0.25">
      <c r="C191">
        <f t="shared" si="15"/>
        <v>190</v>
      </c>
      <c r="D191" s="24">
        <f t="shared" si="16"/>
        <v>45352</v>
      </c>
      <c r="E191" s="25">
        <f t="shared" si="12"/>
        <v>-560.56744376248503</v>
      </c>
      <c r="F191" s="25">
        <f t="shared" si="13"/>
        <v>-1450.9890985994714</v>
      </c>
      <c r="G191" s="25">
        <f t="shared" si="17"/>
        <v>192904.64570283351</v>
      </c>
      <c r="H191" s="56">
        <f t="shared" si="14"/>
        <v>0.77161858281133411</v>
      </c>
    </row>
    <row r="192" spans="3:8" x14ac:dyDescent="0.25">
      <c r="C192">
        <f t="shared" si="15"/>
        <v>191</v>
      </c>
      <c r="D192" s="24">
        <f t="shared" si="16"/>
        <v>45383</v>
      </c>
      <c r="E192" s="25">
        <f t="shared" si="12"/>
        <v>-564.77169959070352</v>
      </c>
      <c r="F192" s="25">
        <f t="shared" si="13"/>
        <v>-1446.7848427712529</v>
      </c>
      <c r="G192" s="25">
        <f t="shared" si="17"/>
        <v>192339.87400324282</v>
      </c>
      <c r="H192" s="56">
        <f t="shared" si="14"/>
        <v>0.76935949601297127</v>
      </c>
    </row>
    <row r="193" spans="3:8" x14ac:dyDescent="0.25">
      <c r="C193">
        <f t="shared" si="15"/>
        <v>192</v>
      </c>
      <c r="D193" s="24">
        <f t="shared" si="16"/>
        <v>45413</v>
      </c>
      <c r="E193" s="25">
        <f t="shared" si="12"/>
        <v>-569.00748733763385</v>
      </c>
      <c r="F193" s="25">
        <f t="shared" si="13"/>
        <v>-1442.5490550243226</v>
      </c>
      <c r="G193" s="25">
        <f t="shared" si="17"/>
        <v>191770.86651590519</v>
      </c>
      <c r="H193" s="56">
        <f t="shared" si="14"/>
        <v>0.76708346606362077</v>
      </c>
    </row>
    <row r="194" spans="3:8" x14ac:dyDescent="0.25">
      <c r="C194">
        <f t="shared" si="15"/>
        <v>193</v>
      </c>
      <c r="D194" s="24">
        <f t="shared" si="16"/>
        <v>45444</v>
      </c>
      <c r="E194" s="25">
        <f t="shared" si="12"/>
        <v>-573.27504349266621</v>
      </c>
      <c r="F194" s="25">
        <f t="shared" si="13"/>
        <v>-1438.2814988692903</v>
      </c>
      <c r="G194" s="25">
        <f t="shared" si="17"/>
        <v>191197.59147241252</v>
      </c>
      <c r="H194" s="56">
        <f t="shared" si="14"/>
        <v>0.7647903658896501</v>
      </c>
    </row>
    <row r="195" spans="3:8" x14ac:dyDescent="0.25">
      <c r="C195">
        <f t="shared" si="15"/>
        <v>194</v>
      </c>
      <c r="D195" s="24">
        <f t="shared" si="16"/>
        <v>45474</v>
      </c>
      <c r="E195" s="25">
        <f t="shared" ref="E195:E258" si="18">PPMT($A$9/12,C195,$A$6,$A$3)</f>
        <v>-577.57460631886113</v>
      </c>
      <c r="F195" s="25">
        <f t="shared" ref="F195:F258" si="19">$A$15-E195</f>
        <v>-1433.9819360430952</v>
      </c>
      <c r="G195" s="25">
        <f t="shared" si="17"/>
        <v>190620.01686609365</v>
      </c>
      <c r="H195" s="56">
        <f t="shared" ref="H195:H258" si="20">G195/$A$3</f>
        <v>0.76248006746437458</v>
      </c>
    </row>
    <row r="196" spans="3:8" x14ac:dyDescent="0.25">
      <c r="C196">
        <f t="shared" ref="C196:C259" si="21">C195+1</f>
        <v>195</v>
      </c>
      <c r="D196" s="24">
        <f t="shared" ref="D196:D259" si="22">EDATE(D195,1)</f>
        <v>45505</v>
      </c>
      <c r="E196" s="25">
        <f t="shared" si="18"/>
        <v>-581.90641586625259</v>
      </c>
      <c r="F196" s="25">
        <f t="shared" si="19"/>
        <v>-1429.6501264957037</v>
      </c>
      <c r="G196" s="25">
        <f t="shared" ref="G196:G259" si="23">G195+E196</f>
        <v>190038.1104502274</v>
      </c>
      <c r="H196" s="56">
        <f t="shared" si="20"/>
        <v>0.76015244180090957</v>
      </c>
    </row>
    <row r="197" spans="3:8" x14ac:dyDescent="0.25">
      <c r="C197">
        <f t="shared" si="21"/>
        <v>196</v>
      </c>
      <c r="D197" s="24">
        <f t="shared" si="22"/>
        <v>45536</v>
      </c>
      <c r="E197" s="25">
        <f t="shared" si="18"/>
        <v>-586.27071398524959</v>
      </c>
      <c r="F197" s="25">
        <f t="shared" si="19"/>
        <v>-1425.2858283767068</v>
      </c>
      <c r="G197" s="25">
        <f t="shared" si="23"/>
        <v>189451.83973624214</v>
      </c>
      <c r="H197" s="56">
        <f t="shared" si="20"/>
        <v>0.75780735894496853</v>
      </c>
    </row>
    <row r="198" spans="3:8" x14ac:dyDescent="0.25">
      <c r="C198">
        <f t="shared" si="21"/>
        <v>197</v>
      </c>
      <c r="D198" s="24">
        <f t="shared" si="22"/>
        <v>45566</v>
      </c>
      <c r="E198" s="25">
        <f t="shared" si="18"/>
        <v>-590.66774434013882</v>
      </c>
      <c r="F198" s="25">
        <f t="shared" si="19"/>
        <v>-1420.8887980218176</v>
      </c>
      <c r="G198" s="25">
        <f t="shared" si="23"/>
        <v>188861.171991902</v>
      </c>
      <c r="H198" s="56">
        <f t="shared" si="20"/>
        <v>0.755444687967608</v>
      </c>
    </row>
    <row r="199" spans="3:8" x14ac:dyDescent="0.25">
      <c r="C199">
        <f t="shared" si="21"/>
        <v>198</v>
      </c>
      <c r="D199" s="24">
        <f t="shared" si="22"/>
        <v>45597</v>
      </c>
      <c r="E199" s="25">
        <f t="shared" si="18"/>
        <v>-595.09775242268995</v>
      </c>
      <c r="F199" s="25">
        <f t="shared" si="19"/>
        <v>-1416.4587899392664</v>
      </c>
      <c r="G199" s="25">
        <f t="shared" si="23"/>
        <v>188266.07423947932</v>
      </c>
      <c r="H199" s="56">
        <f t="shared" si="20"/>
        <v>0.75306429695791732</v>
      </c>
    </row>
    <row r="200" spans="3:8" x14ac:dyDescent="0.25">
      <c r="C200">
        <f t="shared" si="21"/>
        <v>199</v>
      </c>
      <c r="D200" s="24">
        <f t="shared" si="22"/>
        <v>45627</v>
      </c>
      <c r="E200" s="25">
        <f t="shared" si="18"/>
        <v>-599.56098556585994</v>
      </c>
      <c r="F200" s="25">
        <f t="shared" si="19"/>
        <v>-1411.9955567960965</v>
      </c>
      <c r="G200" s="25">
        <f t="shared" si="23"/>
        <v>187666.51325391346</v>
      </c>
      <c r="H200" s="56">
        <f t="shared" si="20"/>
        <v>0.75066605301565381</v>
      </c>
    </row>
    <row r="201" spans="3:8" x14ac:dyDescent="0.25">
      <c r="C201">
        <f t="shared" si="21"/>
        <v>200</v>
      </c>
      <c r="D201" s="24">
        <f t="shared" si="22"/>
        <v>45658</v>
      </c>
      <c r="E201" s="25">
        <f t="shared" si="18"/>
        <v>-604.05769295760399</v>
      </c>
      <c r="F201" s="25">
        <f t="shared" si="19"/>
        <v>-1407.4988494043523</v>
      </c>
      <c r="G201" s="25">
        <f t="shared" si="23"/>
        <v>187062.45556095586</v>
      </c>
      <c r="H201" s="56">
        <f t="shared" si="20"/>
        <v>0.74824982224382341</v>
      </c>
    </row>
    <row r="202" spans="3:8" x14ac:dyDescent="0.25">
      <c r="C202">
        <f t="shared" si="21"/>
        <v>201</v>
      </c>
      <c r="D202" s="24">
        <f t="shared" si="22"/>
        <v>45689</v>
      </c>
      <c r="E202" s="25">
        <f t="shared" si="18"/>
        <v>-608.58812565478604</v>
      </c>
      <c r="F202" s="25">
        <f t="shared" si="19"/>
        <v>-1402.9684167071705</v>
      </c>
      <c r="G202" s="25">
        <f t="shared" si="23"/>
        <v>186453.86743530107</v>
      </c>
      <c r="H202" s="56">
        <f t="shared" si="20"/>
        <v>0.74581546974120427</v>
      </c>
    </row>
    <row r="203" spans="3:8" x14ac:dyDescent="0.25">
      <c r="C203">
        <f t="shared" si="21"/>
        <v>202</v>
      </c>
      <c r="D203" s="24">
        <f t="shared" si="22"/>
        <v>45717</v>
      </c>
      <c r="E203" s="25">
        <f t="shared" si="18"/>
        <v>-613.15253659719679</v>
      </c>
      <c r="F203" s="25">
        <f t="shared" si="19"/>
        <v>-1398.4040057647596</v>
      </c>
      <c r="G203" s="25">
        <f t="shared" si="23"/>
        <v>185840.71489870388</v>
      </c>
      <c r="H203" s="56">
        <f t="shared" si="20"/>
        <v>0.74336285959481552</v>
      </c>
    </row>
    <row r="204" spans="3:8" x14ac:dyDescent="0.25">
      <c r="C204">
        <f t="shared" si="21"/>
        <v>203</v>
      </c>
      <c r="D204" s="24">
        <f t="shared" si="22"/>
        <v>45748</v>
      </c>
      <c r="E204" s="25">
        <f t="shared" si="18"/>
        <v>-617.75118062167587</v>
      </c>
      <c r="F204" s="25">
        <f t="shared" si="19"/>
        <v>-1393.8053617402807</v>
      </c>
      <c r="G204" s="25">
        <f t="shared" si="23"/>
        <v>185222.9637180822</v>
      </c>
      <c r="H204" s="56">
        <f t="shared" si="20"/>
        <v>0.74089185487232878</v>
      </c>
    </row>
    <row r="205" spans="3:8" x14ac:dyDescent="0.25">
      <c r="C205">
        <f t="shared" si="21"/>
        <v>204</v>
      </c>
      <c r="D205" s="24">
        <f t="shared" si="22"/>
        <v>45778</v>
      </c>
      <c r="E205" s="25">
        <f t="shared" si="18"/>
        <v>-622.38431447633832</v>
      </c>
      <c r="F205" s="25">
        <f t="shared" si="19"/>
        <v>-1389.1722278856182</v>
      </c>
      <c r="G205" s="25">
        <f t="shared" si="23"/>
        <v>184600.57940360587</v>
      </c>
      <c r="H205" s="56">
        <f t="shared" si="20"/>
        <v>0.73840231761442343</v>
      </c>
    </row>
    <row r="206" spans="3:8" x14ac:dyDescent="0.25">
      <c r="C206">
        <f t="shared" si="21"/>
        <v>205</v>
      </c>
      <c r="D206" s="24">
        <f t="shared" si="22"/>
        <v>45809</v>
      </c>
      <c r="E206" s="25">
        <f t="shared" si="18"/>
        <v>-627.052196834911</v>
      </c>
      <c r="F206" s="25">
        <f t="shared" si="19"/>
        <v>-1384.5043455270454</v>
      </c>
      <c r="G206" s="25">
        <f t="shared" si="23"/>
        <v>183973.52720677096</v>
      </c>
      <c r="H206" s="56">
        <f t="shared" si="20"/>
        <v>0.73589410882708384</v>
      </c>
    </row>
    <row r="207" spans="3:8" x14ac:dyDescent="0.25">
      <c r="C207">
        <f t="shared" si="21"/>
        <v>206</v>
      </c>
      <c r="D207" s="24">
        <f t="shared" si="22"/>
        <v>45839</v>
      </c>
      <c r="E207" s="25">
        <f t="shared" si="18"/>
        <v>-631.75508831117293</v>
      </c>
      <c r="F207" s="25">
        <f t="shared" si="19"/>
        <v>-1379.8014540507834</v>
      </c>
      <c r="G207" s="25">
        <f t="shared" si="23"/>
        <v>183341.77211845978</v>
      </c>
      <c r="H207" s="56">
        <f t="shared" si="20"/>
        <v>0.73336708847383913</v>
      </c>
    </row>
    <row r="208" spans="3:8" x14ac:dyDescent="0.25">
      <c r="C208">
        <f t="shared" si="21"/>
        <v>207</v>
      </c>
      <c r="D208" s="24">
        <f t="shared" si="22"/>
        <v>45870</v>
      </c>
      <c r="E208" s="25">
        <f t="shared" si="18"/>
        <v>-636.49325147350658</v>
      </c>
      <c r="F208" s="25">
        <f t="shared" si="19"/>
        <v>-1375.06329088845</v>
      </c>
      <c r="G208" s="25">
        <f t="shared" si="23"/>
        <v>182705.27886698628</v>
      </c>
      <c r="H208" s="56">
        <f t="shared" si="20"/>
        <v>0.73082111546794515</v>
      </c>
    </row>
    <row r="209" spans="3:8" x14ac:dyDescent="0.25">
      <c r="C209">
        <f t="shared" si="21"/>
        <v>208</v>
      </c>
      <c r="D209" s="24">
        <f t="shared" si="22"/>
        <v>45901</v>
      </c>
      <c r="E209" s="25">
        <f t="shared" si="18"/>
        <v>-641.26695085955794</v>
      </c>
      <c r="F209" s="25">
        <f t="shared" si="19"/>
        <v>-1370.2895915023985</v>
      </c>
      <c r="G209" s="25">
        <f t="shared" si="23"/>
        <v>182064.01191612671</v>
      </c>
      <c r="H209" s="56">
        <f t="shared" si="20"/>
        <v>0.7282560476645068</v>
      </c>
    </row>
    <row r="210" spans="3:8" x14ac:dyDescent="0.25">
      <c r="C210">
        <f t="shared" si="21"/>
        <v>209</v>
      </c>
      <c r="D210" s="24">
        <f t="shared" si="22"/>
        <v>45931</v>
      </c>
      <c r="E210" s="25">
        <f t="shared" si="18"/>
        <v>-646.07645299100466</v>
      </c>
      <c r="F210" s="25">
        <f t="shared" si="19"/>
        <v>-1365.4800893709516</v>
      </c>
      <c r="G210" s="25">
        <f t="shared" si="23"/>
        <v>181417.93546313571</v>
      </c>
      <c r="H210" s="56">
        <f t="shared" si="20"/>
        <v>0.72567174185254291</v>
      </c>
    </row>
    <row r="211" spans="3:8" x14ac:dyDescent="0.25">
      <c r="C211">
        <f t="shared" si="21"/>
        <v>210</v>
      </c>
      <c r="D211" s="24">
        <f t="shared" si="22"/>
        <v>45962</v>
      </c>
      <c r="E211" s="25">
        <f t="shared" si="18"/>
        <v>-650.92202638843708</v>
      </c>
      <c r="F211" s="25">
        <f t="shared" si="19"/>
        <v>-1360.6345159735192</v>
      </c>
      <c r="G211" s="25">
        <f t="shared" si="23"/>
        <v>180767.01343674728</v>
      </c>
      <c r="H211" s="56">
        <f t="shared" si="20"/>
        <v>0.72306805374698913</v>
      </c>
    </row>
    <row r="212" spans="3:8" x14ac:dyDescent="0.25">
      <c r="C212">
        <f t="shared" si="21"/>
        <v>211</v>
      </c>
      <c r="D212" s="24">
        <f t="shared" si="22"/>
        <v>45992</v>
      </c>
      <c r="E212" s="25">
        <f t="shared" si="18"/>
        <v>-655.80394158635033</v>
      </c>
      <c r="F212" s="25">
        <f t="shared" si="19"/>
        <v>-1355.752600775606</v>
      </c>
      <c r="G212" s="25">
        <f t="shared" si="23"/>
        <v>180111.20949516093</v>
      </c>
      <c r="H212" s="56">
        <f t="shared" si="20"/>
        <v>0.72044483798064374</v>
      </c>
    </row>
    <row r="213" spans="3:8" x14ac:dyDescent="0.25">
      <c r="C213">
        <f t="shared" si="21"/>
        <v>212</v>
      </c>
      <c r="D213" s="24">
        <f t="shared" si="22"/>
        <v>46023</v>
      </c>
      <c r="E213" s="25">
        <f t="shared" si="18"/>
        <v>-660.72247114824813</v>
      </c>
      <c r="F213" s="25">
        <f t="shared" si="19"/>
        <v>-1350.8340712137083</v>
      </c>
      <c r="G213" s="25">
        <f t="shared" si="23"/>
        <v>179450.48702401269</v>
      </c>
      <c r="H213" s="56">
        <f t="shared" si="20"/>
        <v>0.7178019480960508</v>
      </c>
    </row>
    <row r="214" spans="3:8" x14ac:dyDescent="0.25">
      <c r="C214">
        <f t="shared" si="21"/>
        <v>213</v>
      </c>
      <c r="D214" s="24">
        <f t="shared" si="22"/>
        <v>46054</v>
      </c>
      <c r="E214" s="25">
        <f t="shared" si="18"/>
        <v>-665.67788968186005</v>
      </c>
      <c r="F214" s="25">
        <f t="shared" si="19"/>
        <v>-1345.8786526800964</v>
      </c>
      <c r="G214" s="25">
        <f t="shared" si="23"/>
        <v>178784.80913433083</v>
      </c>
      <c r="H214" s="56">
        <f t="shared" si="20"/>
        <v>0.71513923653732336</v>
      </c>
    </row>
    <row r="215" spans="3:8" x14ac:dyDescent="0.25">
      <c r="C215">
        <f t="shared" si="21"/>
        <v>214</v>
      </c>
      <c r="D215" s="24">
        <f t="shared" si="22"/>
        <v>46082</v>
      </c>
      <c r="E215" s="25">
        <f t="shared" si="18"/>
        <v>-670.67047385447381</v>
      </c>
      <c r="F215" s="25">
        <f t="shared" si="19"/>
        <v>-1340.8860685074826</v>
      </c>
      <c r="G215" s="25">
        <f t="shared" si="23"/>
        <v>178114.13866047637</v>
      </c>
      <c r="H215" s="56">
        <f t="shared" si="20"/>
        <v>0.71245655464190549</v>
      </c>
    </row>
    <row r="216" spans="3:8" x14ac:dyDescent="0.25">
      <c r="C216">
        <f t="shared" si="21"/>
        <v>215</v>
      </c>
      <c r="D216" s="24">
        <f t="shared" si="22"/>
        <v>46113</v>
      </c>
      <c r="E216" s="25">
        <f t="shared" si="18"/>
        <v>-675.70050240838248</v>
      </c>
      <c r="F216" s="25">
        <f t="shared" si="19"/>
        <v>-1335.8560399535741</v>
      </c>
      <c r="G216" s="25">
        <f t="shared" si="23"/>
        <v>177438.43815806799</v>
      </c>
      <c r="H216" s="56">
        <f t="shared" si="20"/>
        <v>0.70975375263227192</v>
      </c>
    </row>
    <row r="217" spans="3:8" x14ac:dyDescent="0.25">
      <c r="C217">
        <f t="shared" si="21"/>
        <v>216</v>
      </c>
      <c r="D217" s="24">
        <f t="shared" si="22"/>
        <v>46143</v>
      </c>
      <c r="E217" s="25">
        <f t="shared" si="18"/>
        <v>-680.76825617644522</v>
      </c>
      <c r="F217" s="25">
        <f t="shared" si="19"/>
        <v>-1330.7882861855112</v>
      </c>
      <c r="G217" s="25">
        <f t="shared" si="23"/>
        <v>176757.66990189155</v>
      </c>
      <c r="H217" s="56">
        <f t="shared" si="20"/>
        <v>0.70703067960756616</v>
      </c>
    </row>
    <row r="218" spans="3:8" x14ac:dyDescent="0.25">
      <c r="C218">
        <f t="shared" si="21"/>
        <v>217</v>
      </c>
      <c r="D218" s="24">
        <f t="shared" si="22"/>
        <v>46174</v>
      </c>
      <c r="E218" s="25">
        <f t="shared" si="18"/>
        <v>-685.87401809776873</v>
      </c>
      <c r="F218" s="25">
        <f t="shared" si="19"/>
        <v>-1325.6825242641876</v>
      </c>
      <c r="G218" s="25">
        <f t="shared" si="23"/>
        <v>176071.79588379379</v>
      </c>
      <c r="H218" s="56">
        <f t="shared" si="20"/>
        <v>0.70428718353517517</v>
      </c>
    </row>
    <row r="219" spans="3:8" x14ac:dyDescent="0.25">
      <c r="C219">
        <f t="shared" si="21"/>
        <v>218</v>
      </c>
      <c r="D219" s="24">
        <f t="shared" si="22"/>
        <v>46204</v>
      </c>
      <c r="E219" s="25">
        <f t="shared" si="18"/>
        <v>-691.01807323350181</v>
      </c>
      <c r="F219" s="25">
        <f t="shared" si="19"/>
        <v>-1320.5384691284546</v>
      </c>
      <c r="G219" s="25">
        <f t="shared" si="23"/>
        <v>175380.77781056028</v>
      </c>
      <c r="H219" s="56">
        <f t="shared" si="20"/>
        <v>0.70152311124224109</v>
      </c>
    </row>
    <row r="220" spans="3:8" x14ac:dyDescent="0.25">
      <c r="C220">
        <f t="shared" si="21"/>
        <v>219</v>
      </c>
      <c r="D220" s="24">
        <f t="shared" si="22"/>
        <v>46235</v>
      </c>
      <c r="E220" s="25">
        <f t="shared" si="18"/>
        <v>-696.20070878275317</v>
      </c>
      <c r="F220" s="25">
        <f t="shared" si="19"/>
        <v>-1315.3558335792031</v>
      </c>
      <c r="G220" s="25">
        <f t="shared" si="23"/>
        <v>174684.57710177751</v>
      </c>
      <c r="H220" s="56">
        <f t="shared" si="20"/>
        <v>0.69873830840711004</v>
      </c>
    </row>
    <row r="221" spans="3:8" x14ac:dyDescent="0.25">
      <c r="C221">
        <f t="shared" si="21"/>
        <v>220</v>
      </c>
      <c r="D221" s="24">
        <f t="shared" si="22"/>
        <v>46266</v>
      </c>
      <c r="E221" s="25">
        <f t="shared" si="18"/>
        <v>-701.42221409862373</v>
      </c>
      <c r="F221" s="25">
        <f t="shared" si="19"/>
        <v>-1310.1343282633327</v>
      </c>
      <c r="G221" s="25">
        <f t="shared" si="23"/>
        <v>173983.15488767889</v>
      </c>
      <c r="H221" s="56">
        <f t="shared" si="20"/>
        <v>0.6959326195507155</v>
      </c>
    </row>
    <row r="222" spans="3:8" x14ac:dyDescent="0.25">
      <c r="C222">
        <f t="shared" si="21"/>
        <v>221</v>
      </c>
      <c r="D222" s="24">
        <f t="shared" si="22"/>
        <v>46296</v>
      </c>
      <c r="E222" s="25">
        <f t="shared" si="18"/>
        <v>-706.68288070436358</v>
      </c>
      <c r="F222" s="25">
        <f t="shared" si="19"/>
        <v>-1304.8736616575929</v>
      </c>
      <c r="G222" s="25">
        <f t="shared" si="23"/>
        <v>173276.47200697454</v>
      </c>
      <c r="H222" s="56">
        <f t="shared" si="20"/>
        <v>0.69310588802789819</v>
      </c>
    </row>
    <row r="223" spans="3:8" x14ac:dyDescent="0.25">
      <c r="C223">
        <f t="shared" si="21"/>
        <v>222</v>
      </c>
      <c r="D223" s="24">
        <f t="shared" si="22"/>
        <v>46327</v>
      </c>
      <c r="E223" s="25">
        <f t="shared" si="18"/>
        <v>-711.98300230964639</v>
      </c>
      <c r="F223" s="25">
        <f t="shared" si="19"/>
        <v>-1299.5735400523099</v>
      </c>
      <c r="G223" s="25">
        <f t="shared" si="23"/>
        <v>172564.48900466488</v>
      </c>
      <c r="H223" s="56">
        <f t="shared" si="20"/>
        <v>0.69025795601865947</v>
      </c>
    </row>
    <row r="224" spans="3:8" x14ac:dyDescent="0.25">
      <c r="C224">
        <f t="shared" si="21"/>
        <v>223</v>
      </c>
      <c r="D224" s="24">
        <f t="shared" si="22"/>
        <v>46357</v>
      </c>
      <c r="E224" s="25">
        <f t="shared" si="18"/>
        <v>-717.32287482696847</v>
      </c>
      <c r="F224" s="25">
        <f t="shared" si="19"/>
        <v>-1294.2336675349879</v>
      </c>
      <c r="G224" s="25">
        <f t="shared" si="23"/>
        <v>171847.16612983792</v>
      </c>
      <c r="H224" s="56">
        <f t="shared" si="20"/>
        <v>0.68738866451935166</v>
      </c>
    </row>
    <row r="225" spans="3:8" x14ac:dyDescent="0.25">
      <c r="C225">
        <f t="shared" si="21"/>
        <v>224</v>
      </c>
      <c r="D225" s="24">
        <f t="shared" si="22"/>
        <v>46388</v>
      </c>
      <c r="E225" s="25">
        <f t="shared" si="18"/>
        <v>-722.70279638817078</v>
      </c>
      <c r="F225" s="25">
        <f t="shared" si="19"/>
        <v>-1288.8537459737856</v>
      </c>
      <c r="G225" s="25">
        <f t="shared" si="23"/>
        <v>171124.46333344973</v>
      </c>
      <c r="H225" s="56">
        <f t="shared" si="20"/>
        <v>0.68449785333379898</v>
      </c>
    </row>
    <row r="226" spans="3:8" x14ac:dyDescent="0.25">
      <c r="C226">
        <f t="shared" si="21"/>
        <v>225</v>
      </c>
      <c r="D226" s="24">
        <f t="shared" si="22"/>
        <v>46419</v>
      </c>
      <c r="E226" s="25">
        <f t="shared" si="18"/>
        <v>-728.12306736108224</v>
      </c>
      <c r="F226" s="25">
        <f t="shared" si="19"/>
        <v>-1283.4334750008743</v>
      </c>
      <c r="G226" s="25">
        <f t="shared" si="23"/>
        <v>170396.34026608866</v>
      </c>
      <c r="H226" s="56">
        <f t="shared" si="20"/>
        <v>0.68158536106435463</v>
      </c>
    </row>
    <row r="227" spans="3:8" x14ac:dyDescent="0.25">
      <c r="C227">
        <f t="shared" si="21"/>
        <v>226</v>
      </c>
      <c r="D227" s="24">
        <f t="shared" si="22"/>
        <v>46447</v>
      </c>
      <c r="E227" s="25">
        <f t="shared" si="18"/>
        <v>-733.58399036629032</v>
      </c>
      <c r="F227" s="25">
        <f t="shared" si="19"/>
        <v>-1277.972551995666</v>
      </c>
      <c r="G227" s="25">
        <f t="shared" si="23"/>
        <v>169662.75627572238</v>
      </c>
      <c r="H227" s="56">
        <f t="shared" si="20"/>
        <v>0.67865102510288955</v>
      </c>
    </row>
    <row r="228" spans="3:8" x14ac:dyDescent="0.25">
      <c r="C228">
        <f t="shared" si="21"/>
        <v>227</v>
      </c>
      <c r="D228" s="24">
        <f t="shared" si="22"/>
        <v>46478</v>
      </c>
      <c r="E228" s="25">
        <f t="shared" si="18"/>
        <v>-739.08587029403748</v>
      </c>
      <c r="F228" s="25">
        <f t="shared" si="19"/>
        <v>-1272.4706720679189</v>
      </c>
      <c r="G228" s="25">
        <f t="shared" si="23"/>
        <v>168923.67040542833</v>
      </c>
      <c r="H228" s="56">
        <f t="shared" si="20"/>
        <v>0.67569468162171331</v>
      </c>
    </row>
    <row r="229" spans="3:8" x14ac:dyDescent="0.25">
      <c r="C229">
        <f t="shared" si="21"/>
        <v>228</v>
      </c>
      <c r="D229" s="24">
        <f t="shared" si="22"/>
        <v>46508</v>
      </c>
      <c r="E229" s="25">
        <f t="shared" si="18"/>
        <v>-744.62901432124272</v>
      </c>
      <c r="F229" s="25">
        <f t="shared" si="19"/>
        <v>-1266.9275280407137</v>
      </c>
      <c r="G229" s="25">
        <f t="shared" si="23"/>
        <v>168179.04139110708</v>
      </c>
      <c r="H229" s="56">
        <f t="shared" si="20"/>
        <v>0.67271616556442837</v>
      </c>
    </row>
    <row r="230" spans="3:8" x14ac:dyDescent="0.25">
      <c r="C230">
        <f t="shared" si="21"/>
        <v>229</v>
      </c>
      <c r="D230" s="24">
        <f t="shared" si="22"/>
        <v>46539</v>
      </c>
      <c r="E230" s="25">
        <f t="shared" si="18"/>
        <v>-750.21373192865201</v>
      </c>
      <c r="F230" s="25">
        <f t="shared" si="19"/>
        <v>-1261.3428104333043</v>
      </c>
      <c r="G230" s="25">
        <f t="shared" si="23"/>
        <v>167428.82765917844</v>
      </c>
      <c r="H230" s="56">
        <f t="shared" si="20"/>
        <v>0.66971531063671375</v>
      </c>
    </row>
    <row r="231" spans="3:8" x14ac:dyDescent="0.25">
      <c r="C231">
        <f t="shared" si="21"/>
        <v>230</v>
      </c>
      <c r="D231" s="24">
        <f t="shared" si="22"/>
        <v>46569</v>
      </c>
      <c r="E231" s="25">
        <f t="shared" si="18"/>
        <v>-755.84033491811692</v>
      </c>
      <c r="F231" s="25">
        <f t="shared" si="19"/>
        <v>-1255.7162074438395</v>
      </c>
      <c r="G231" s="25">
        <f t="shared" si="23"/>
        <v>166672.98732426032</v>
      </c>
      <c r="H231" s="56">
        <f t="shared" si="20"/>
        <v>0.66669194929704123</v>
      </c>
    </row>
    <row r="232" spans="3:8" x14ac:dyDescent="0.25">
      <c r="C232">
        <f t="shared" si="21"/>
        <v>231</v>
      </c>
      <c r="D232" s="24">
        <f t="shared" si="22"/>
        <v>46600</v>
      </c>
      <c r="E232" s="25">
        <f t="shared" si="18"/>
        <v>-761.50913743000285</v>
      </c>
      <c r="F232" s="25">
        <f t="shared" si="19"/>
        <v>-1250.0474049319537</v>
      </c>
      <c r="G232" s="25">
        <f t="shared" si="23"/>
        <v>165911.47818683033</v>
      </c>
      <c r="H232" s="56">
        <f t="shared" si="20"/>
        <v>0.66364591274732132</v>
      </c>
    </row>
    <row r="233" spans="3:8" x14ac:dyDescent="0.25">
      <c r="C233">
        <f t="shared" si="21"/>
        <v>232</v>
      </c>
      <c r="D233" s="24">
        <f t="shared" si="22"/>
        <v>46631</v>
      </c>
      <c r="E233" s="25">
        <f t="shared" si="18"/>
        <v>-767.2204559607278</v>
      </c>
      <c r="F233" s="25">
        <f t="shared" si="19"/>
        <v>-1244.3360864012286</v>
      </c>
      <c r="G233" s="25">
        <f t="shared" si="23"/>
        <v>165144.25773086961</v>
      </c>
      <c r="H233" s="56">
        <f t="shared" si="20"/>
        <v>0.66057703092347841</v>
      </c>
    </row>
    <row r="234" spans="3:8" x14ac:dyDescent="0.25">
      <c r="C234">
        <f t="shared" si="21"/>
        <v>233</v>
      </c>
      <c r="D234" s="24">
        <f t="shared" si="22"/>
        <v>46661</v>
      </c>
      <c r="E234" s="25">
        <f t="shared" si="18"/>
        <v>-772.97460938043321</v>
      </c>
      <c r="F234" s="25">
        <f t="shared" si="19"/>
        <v>-1238.5819329815231</v>
      </c>
      <c r="G234" s="25">
        <f t="shared" si="23"/>
        <v>164371.28312148916</v>
      </c>
      <c r="H234" s="56">
        <f t="shared" si="20"/>
        <v>0.65748513248595664</v>
      </c>
    </row>
    <row r="235" spans="3:8" x14ac:dyDescent="0.25">
      <c r="C235">
        <f t="shared" si="21"/>
        <v>234</v>
      </c>
      <c r="D235" s="24">
        <f t="shared" si="22"/>
        <v>46692</v>
      </c>
      <c r="E235" s="25">
        <f t="shared" si="18"/>
        <v>-778.77191895078647</v>
      </c>
      <c r="F235" s="25">
        <f t="shared" si="19"/>
        <v>-1232.7846234111698</v>
      </c>
      <c r="G235" s="25">
        <f t="shared" si="23"/>
        <v>163592.51120253839</v>
      </c>
      <c r="H235" s="56">
        <f t="shared" si="20"/>
        <v>0.65437004481015359</v>
      </c>
    </row>
    <row r="236" spans="3:8" x14ac:dyDescent="0.25">
      <c r="C236">
        <f t="shared" si="21"/>
        <v>235</v>
      </c>
      <c r="D236" s="24">
        <f t="shared" si="22"/>
        <v>46722</v>
      </c>
      <c r="E236" s="25">
        <f t="shared" si="18"/>
        <v>-784.61270834291736</v>
      </c>
      <c r="F236" s="25">
        <f t="shared" si="19"/>
        <v>-1226.9438340190391</v>
      </c>
      <c r="G236" s="25">
        <f t="shared" si="23"/>
        <v>162807.89849419545</v>
      </c>
      <c r="H236" s="56">
        <f t="shared" si="20"/>
        <v>0.65123159397678188</v>
      </c>
    </row>
    <row r="237" spans="3:8" x14ac:dyDescent="0.25">
      <c r="C237">
        <f t="shared" si="21"/>
        <v>236</v>
      </c>
      <c r="D237" s="24">
        <f t="shared" si="22"/>
        <v>46753</v>
      </c>
      <c r="E237" s="25">
        <f t="shared" si="18"/>
        <v>-790.4973036554893</v>
      </c>
      <c r="F237" s="25">
        <f t="shared" si="19"/>
        <v>-1221.0592387064671</v>
      </c>
      <c r="G237" s="25">
        <f t="shared" si="23"/>
        <v>162017.40119053997</v>
      </c>
      <c r="H237" s="56">
        <f t="shared" si="20"/>
        <v>0.64806960476215991</v>
      </c>
    </row>
    <row r="238" spans="3:8" x14ac:dyDescent="0.25">
      <c r="C238">
        <f t="shared" si="21"/>
        <v>237</v>
      </c>
      <c r="D238" s="24">
        <f t="shared" si="22"/>
        <v>46784</v>
      </c>
      <c r="E238" s="25">
        <f t="shared" si="18"/>
        <v>-796.42603343290557</v>
      </c>
      <c r="F238" s="25">
        <f t="shared" si="19"/>
        <v>-1215.1305089290508</v>
      </c>
      <c r="G238" s="25">
        <f t="shared" si="23"/>
        <v>161220.97515710705</v>
      </c>
      <c r="H238" s="56">
        <f t="shared" si="20"/>
        <v>0.64488390062842815</v>
      </c>
    </row>
    <row r="239" spans="3:8" x14ac:dyDescent="0.25">
      <c r="C239">
        <f t="shared" si="21"/>
        <v>238</v>
      </c>
      <c r="D239" s="24">
        <f t="shared" si="22"/>
        <v>46813</v>
      </c>
      <c r="E239" s="25">
        <f t="shared" si="18"/>
        <v>-802.39922868365215</v>
      </c>
      <c r="F239" s="25">
        <f t="shared" si="19"/>
        <v>-1209.1573136783043</v>
      </c>
      <c r="G239" s="25">
        <f t="shared" si="23"/>
        <v>160418.57592842341</v>
      </c>
      <c r="H239" s="56">
        <f t="shared" si="20"/>
        <v>0.64167430371369361</v>
      </c>
    </row>
    <row r="240" spans="3:8" x14ac:dyDescent="0.25">
      <c r="C240">
        <f t="shared" si="21"/>
        <v>239</v>
      </c>
      <c r="D240" s="24">
        <f t="shared" si="22"/>
        <v>46844</v>
      </c>
      <c r="E240" s="25">
        <f t="shared" si="18"/>
        <v>-808.41722289877964</v>
      </c>
      <c r="F240" s="25">
        <f t="shared" si="19"/>
        <v>-1203.1393194631769</v>
      </c>
      <c r="G240" s="25">
        <f t="shared" si="23"/>
        <v>159610.15870552463</v>
      </c>
      <c r="H240" s="56">
        <f t="shared" si="20"/>
        <v>0.63844063482209856</v>
      </c>
    </row>
    <row r="241" spans="3:8" x14ac:dyDescent="0.25">
      <c r="C241">
        <f t="shared" si="21"/>
        <v>240</v>
      </c>
      <c r="D241" s="24">
        <f t="shared" si="22"/>
        <v>46874</v>
      </c>
      <c r="E241" s="25">
        <f t="shared" si="18"/>
        <v>-814.48035207052055</v>
      </c>
      <c r="F241" s="25">
        <f t="shared" si="19"/>
        <v>-1197.076190291436</v>
      </c>
      <c r="G241" s="25">
        <f t="shared" si="23"/>
        <v>158795.6783534541</v>
      </c>
      <c r="H241" s="56">
        <f t="shared" si="20"/>
        <v>0.63518271341381638</v>
      </c>
    </row>
    <row r="242" spans="3:8" x14ac:dyDescent="0.25">
      <c r="C242">
        <f t="shared" si="21"/>
        <v>241</v>
      </c>
      <c r="D242" s="24">
        <f t="shared" si="22"/>
        <v>46905</v>
      </c>
      <c r="E242" s="25">
        <f t="shared" si="18"/>
        <v>-820.58895471104938</v>
      </c>
      <c r="F242" s="25">
        <f t="shared" si="19"/>
        <v>-1190.967587650907</v>
      </c>
      <c r="G242" s="25">
        <f t="shared" si="23"/>
        <v>157975.08939874306</v>
      </c>
      <c r="H242" s="56">
        <f t="shared" si="20"/>
        <v>0.63190035759497221</v>
      </c>
    </row>
    <row r="243" spans="3:8" x14ac:dyDescent="0.25">
      <c r="C243">
        <f t="shared" si="21"/>
        <v>242</v>
      </c>
      <c r="D243" s="24">
        <f t="shared" si="22"/>
        <v>46935</v>
      </c>
      <c r="E243" s="25">
        <f t="shared" si="18"/>
        <v>-826.74337187138224</v>
      </c>
      <c r="F243" s="25">
        <f t="shared" si="19"/>
        <v>-1184.8131704905741</v>
      </c>
      <c r="G243" s="25">
        <f t="shared" si="23"/>
        <v>157148.34602687167</v>
      </c>
      <c r="H243" s="56">
        <f t="shared" si="20"/>
        <v>0.62859338410748666</v>
      </c>
    </row>
    <row r="244" spans="3:8" x14ac:dyDescent="0.25">
      <c r="C244">
        <f t="shared" si="21"/>
        <v>243</v>
      </c>
      <c r="D244" s="24">
        <f t="shared" si="22"/>
        <v>46966</v>
      </c>
      <c r="E244" s="25">
        <f t="shared" si="18"/>
        <v>-832.94394716041757</v>
      </c>
      <c r="F244" s="25">
        <f t="shared" si="19"/>
        <v>-1178.6125952015389</v>
      </c>
      <c r="G244" s="25">
        <f t="shared" si="23"/>
        <v>156315.40207971126</v>
      </c>
      <c r="H244" s="56">
        <f t="shared" si="20"/>
        <v>0.62526160831884503</v>
      </c>
    </row>
    <row r="245" spans="3:8" x14ac:dyDescent="0.25">
      <c r="C245">
        <f t="shared" si="21"/>
        <v>244</v>
      </c>
      <c r="D245" s="24">
        <f t="shared" si="22"/>
        <v>46997</v>
      </c>
      <c r="E245" s="25">
        <f t="shared" si="18"/>
        <v>-839.19102676412081</v>
      </c>
      <c r="F245" s="25">
        <f t="shared" si="19"/>
        <v>-1172.3655155978356</v>
      </c>
      <c r="G245" s="25">
        <f t="shared" si="23"/>
        <v>155476.21105294715</v>
      </c>
      <c r="H245" s="56">
        <f t="shared" si="20"/>
        <v>0.6219048442117886</v>
      </c>
    </row>
    <row r="246" spans="3:8" x14ac:dyDescent="0.25">
      <c r="C246">
        <f t="shared" si="21"/>
        <v>245</v>
      </c>
      <c r="D246" s="24">
        <f t="shared" si="22"/>
        <v>47027</v>
      </c>
      <c r="E246" s="25">
        <f t="shared" si="18"/>
        <v>-845.48495946485173</v>
      </c>
      <c r="F246" s="25">
        <f t="shared" si="19"/>
        <v>-1166.0715828971047</v>
      </c>
      <c r="G246" s="25">
        <f t="shared" si="23"/>
        <v>154630.72609348231</v>
      </c>
      <c r="H246" s="56">
        <f t="shared" si="20"/>
        <v>0.61852290437392921</v>
      </c>
    </row>
    <row r="247" spans="3:8" x14ac:dyDescent="0.25">
      <c r="C247">
        <f t="shared" si="21"/>
        <v>246</v>
      </c>
      <c r="D247" s="24">
        <f t="shared" si="22"/>
        <v>47058</v>
      </c>
      <c r="E247" s="25">
        <f t="shared" si="18"/>
        <v>-851.82609666083806</v>
      </c>
      <c r="F247" s="25">
        <f t="shared" si="19"/>
        <v>-1159.7304457011182</v>
      </c>
      <c r="G247" s="25">
        <f t="shared" si="23"/>
        <v>153778.89999682148</v>
      </c>
      <c r="H247" s="56">
        <f t="shared" si="20"/>
        <v>0.61511559998728593</v>
      </c>
    </row>
    <row r="248" spans="3:8" x14ac:dyDescent="0.25">
      <c r="C248">
        <f t="shared" si="21"/>
        <v>247</v>
      </c>
      <c r="D248" s="24">
        <f t="shared" si="22"/>
        <v>47088</v>
      </c>
      <c r="E248" s="25">
        <f t="shared" si="18"/>
        <v>-858.21479238579434</v>
      </c>
      <c r="F248" s="25">
        <f t="shared" si="19"/>
        <v>-1153.3417499761622</v>
      </c>
      <c r="G248" s="25">
        <f t="shared" si="23"/>
        <v>152920.68520443569</v>
      </c>
      <c r="H248" s="56">
        <f t="shared" si="20"/>
        <v>0.61168274081774276</v>
      </c>
    </row>
    <row r="249" spans="3:8" x14ac:dyDescent="0.25">
      <c r="C249">
        <f t="shared" si="21"/>
        <v>248</v>
      </c>
      <c r="D249" s="24">
        <f t="shared" si="22"/>
        <v>47119</v>
      </c>
      <c r="E249" s="25">
        <f t="shared" si="18"/>
        <v>-864.65140332868782</v>
      </c>
      <c r="F249" s="25">
        <f t="shared" si="19"/>
        <v>-1146.9051390332686</v>
      </c>
      <c r="G249" s="25">
        <f t="shared" si="23"/>
        <v>152056.033801107</v>
      </c>
      <c r="H249" s="56">
        <f t="shared" si="20"/>
        <v>0.60822413520442797</v>
      </c>
    </row>
    <row r="250" spans="3:8" x14ac:dyDescent="0.25">
      <c r="C250">
        <f t="shared" si="21"/>
        <v>249</v>
      </c>
      <c r="D250" s="24">
        <f t="shared" si="22"/>
        <v>47150</v>
      </c>
      <c r="E250" s="25">
        <f t="shared" si="18"/>
        <v>-871.13628885365301</v>
      </c>
      <c r="F250" s="25">
        <f t="shared" si="19"/>
        <v>-1140.4202535083034</v>
      </c>
      <c r="G250" s="25">
        <f t="shared" si="23"/>
        <v>151184.89751225334</v>
      </c>
      <c r="H250" s="56">
        <f t="shared" si="20"/>
        <v>0.60473959004901334</v>
      </c>
    </row>
    <row r="251" spans="3:8" x14ac:dyDescent="0.25">
      <c r="C251">
        <f t="shared" si="21"/>
        <v>250</v>
      </c>
      <c r="D251" s="24">
        <f t="shared" si="22"/>
        <v>47178</v>
      </c>
      <c r="E251" s="25">
        <f t="shared" si="18"/>
        <v>-877.66981102005536</v>
      </c>
      <c r="F251" s="25">
        <f t="shared" si="19"/>
        <v>-1133.8867313419009</v>
      </c>
      <c r="G251" s="25">
        <f t="shared" si="23"/>
        <v>150307.22770123329</v>
      </c>
      <c r="H251" s="56">
        <f t="shared" si="20"/>
        <v>0.60122891080493313</v>
      </c>
    </row>
    <row r="252" spans="3:8" x14ac:dyDescent="0.25">
      <c r="C252">
        <f t="shared" si="21"/>
        <v>251</v>
      </c>
      <c r="D252" s="24">
        <f t="shared" si="22"/>
        <v>47209</v>
      </c>
      <c r="E252" s="25">
        <f t="shared" si="18"/>
        <v>-884.25233460270579</v>
      </c>
      <c r="F252" s="25">
        <f t="shared" si="19"/>
        <v>-1127.3042077592506</v>
      </c>
      <c r="G252" s="25">
        <f t="shared" si="23"/>
        <v>149422.97536663059</v>
      </c>
      <c r="H252" s="56">
        <f t="shared" si="20"/>
        <v>0.5976919014665224</v>
      </c>
    </row>
    <row r="253" spans="3:8" x14ac:dyDescent="0.25">
      <c r="C253">
        <f t="shared" si="21"/>
        <v>252</v>
      </c>
      <c r="D253" s="24">
        <f t="shared" si="22"/>
        <v>47239</v>
      </c>
      <c r="E253" s="25">
        <f t="shared" si="18"/>
        <v>-890.8842271122262</v>
      </c>
      <c r="F253" s="25">
        <f t="shared" si="19"/>
        <v>-1120.6723152497302</v>
      </c>
      <c r="G253" s="25">
        <f t="shared" si="23"/>
        <v>148532.09113951836</v>
      </c>
      <c r="H253" s="56">
        <f t="shared" si="20"/>
        <v>0.5941283645580735</v>
      </c>
    </row>
    <row r="254" spans="3:8" x14ac:dyDescent="0.25">
      <c r="C254">
        <f t="shared" si="21"/>
        <v>253</v>
      </c>
      <c r="D254" s="24">
        <f t="shared" si="22"/>
        <v>47270</v>
      </c>
      <c r="E254" s="25">
        <f t="shared" si="18"/>
        <v>-897.56585881556782</v>
      </c>
      <c r="F254" s="25">
        <f t="shared" si="19"/>
        <v>-1113.9906835463885</v>
      </c>
      <c r="G254" s="25">
        <f t="shared" si="23"/>
        <v>147634.5252807028</v>
      </c>
      <c r="H254" s="56">
        <f t="shared" si="20"/>
        <v>0.59053810112281124</v>
      </c>
    </row>
    <row r="255" spans="3:8" x14ac:dyDescent="0.25">
      <c r="C255">
        <f t="shared" si="21"/>
        <v>254</v>
      </c>
      <c r="D255" s="24">
        <f t="shared" si="22"/>
        <v>47300</v>
      </c>
      <c r="E255" s="25">
        <f t="shared" si="18"/>
        <v>-904.29760275668446</v>
      </c>
      <c r="F255" s="25">
        <f t="shared" si="19"/>
        <v>-1107.258939605272</v>
      </c>
      <c r="G255" s="25">
        <f t="shared" si="23"/>
        <v>146730.22767794612</v>
      </c>
      <c r="H255" s="56">
        <f t="shared" si="20"/>
        <v>0.58692091071178454</v>
      </c>
    </row>
    <row r="256" spans="3:8" x14ac:dyDescent="0.25">
      <c r="C256">
        <f t="shared" si="21"/>
        <v>255</v>
      </c>
      <c r="D256" s="24">
        <f t="shared" si="22"/>
        <v>47331</v>
      </c>
      <c r="E256" s="25">
        <f t="shared" si="18"/>
        <v>-911.07983477735957</v>
      </c>
      <c r="F256" s="25">
        <f t="shared" si="19"/>
        <v>-1100.4767075845969</v>
      </c>
      <c r="G256" s="25">
        <f t="shared" si="23"/>
        <v>145819.14784316876</v>
      </c>
      <c r="H256" s="56">
        <f t="shared" si="20"/>
        <v>0.58327659137267507</v>
      </c>
    </row>
    <row r="257" spans="3:8" x14ac:dyDescent="0.25">
      <c r="C257">
        <f t="shared" si="21"/>
        <v>256</v>
      </c>
      <c r="D257" s="24">
        <f t="shared" si="22"/>
        <v>47362</v>
      </c>
      <c r="E257" s="25">
        <f t="shared" si="18"/>
        <v>-917.91293353818992</v>
      </c>
      <c r="F257" s="25">
        <f t="shared" si="19"/>
        <v>-1093.6436088237665</v>
      </c>
      <c r="G257" s="25">
        <f t="shared" si="23"/>
        <v>144901.23490963056</v>
      </c>
      <c r="H257" s="56">
        <f t="shared" si="20"/>
        <v>0.57960493963852222</v>
      </c>
    </row>
    <row r="258" spans="3:8" x14ac:dyDescent="0.25">
      <c r="C258">
        <f t="shared" si="21"/>
        <v>257</v>
      </c>
      <c r="D258" s="24">
        <f t="shared" si="22"/>
        <v>47392</v>
      </c>
      <c r="E258" s="25">
        <f t="shared" si="18"/>
        <v>-924.79728053972633</v>
      </c>
      <c r="F258" s="25">
        <f t="shared" si="19"/>
        <v>-1086.7592618222302</v>
      </c>
      <c r="G258" s="25">
        <f t="shared" si="23"/>
        <v>143976.43762909083</v>
      </c>
      <c r="H258" s="56">
        <f t="shared" si="20"/>
        <v>0.57590575051636328</v>
      </c>
    </row>
    <row r="259" spans="3:8" x14ac:dyDescent="0.25">
      <c r="C259">
        <f t="shared" si="21"/>
        <v>258</v>
      </c>
      <c r="D259" s="24">
        <f t="shared" si="22"/>
        <v>47423</v>
      </c>
      <c r="E259" s="25">
        <f t="shared" ref="E259:E322" si="24">PPMT($A$9/12,C259,$A$6,$A$3)</f>
        <v>-931.73326014377426</v>
      </c>
      <c r="F259" s="25">
        <f t="shared" ref="F259:F322" si="25">$A$15-E259</f>
        <v>-1079.8232822181822</v>
      </c>
      <c r="G259" s="25">
        <f t="shared" si="23"/>
        <v>143044.70436894704</v>
      </c>
      <c r="H259" s="56">
        <f t="shared" ref="H259:H322" si="26">G259/$A$3</f>
        <v>0.57217881747578814</v>
      </c>
    </row>
    <row r="260" spans="3:8" x14ac:dyDescent="0.25">
      <c r="C260">
        <f t="shared" ref="C260:C323" si="27">C259+1</f>
        <v>259</v>
      </c>
      <c r="D260" s="24">
        <f t="shared" ref="D260:D323" si="28">EDATE(D259,1)</f>
        <v>47453</v>
      </c>
      <c r="E260" s="25">
        <f t="shared" si="24"/>
        <v>-938.72125959485254</v>
      </c>
      <c r="F260" s="25">
        <f t="shared" si="25"/>
        <v>-1072.8352827671038</v>
      </c>
      <c r="G260" s="25">
        <f t="shared" ref="G260:G323" si="29">G259+E260</f>
        <v>142105.98310935218</v>
      </c>
      <c r="H260" s="56">
        <f t="shared" si="26"/>
        <v>0.56842393243740874</v>
      </c>
    </row>
    <row r="261" spans="3:8" x14ac:dyDescent="0.25">
      <c r="C261">
        <f t="shared" si="27"/>
        <v>260</v>
      </c>
      <c r="D261" s="24">
        <f t="shared" si="28"/>
        <v>47484</v>
      </c>
      <c r="E261" s="25">
        <f t="shared" si="24"/>
        <v>-945.761669041814</v>
      </c>
      <c r="F261" s="25">
        <f t="shared" si="25"/>
        <v>-1065.7948733201424</v>
      </c>
      <c r="G261" s="25">
        <f t="shared" si="29"/>
        <v>141160.22144031036</v>
      </c>
      <c r="H261" s="56">
        <f t="shared" si="26"/>
        <v>0.56464088576124138</v>
      </c>
    </row>
    <row r="262" spans="3:8" x14ac:dyDescent="0.25">
      <c r="C262">
        <f t="shared" si="27"/>
        <v>261</v>
      </c>
      <c r="D262" s="24">
        <f t="shared" si="28"/>
        <v>47515</v>
      </c>
      <c r="E262" s="25">
        <f t="shared" si="24"/>
        <v>-952.85488155962764</v>
      </c>
      <c r="F262" s="25">
        <f t="shared" si="25"/>
        <v>-1058.7016608023287</v>
      </c>
      <c r="G262" s="25">
        <f t="shared" si="29"/>
        <v>140207.36655875074</v>
      </c>
      <c r="H262" s="56">
        <f t="shared" si="26"/>
        <v>0.56082946623500296</v>
      </c>
    </row>
    <row r="263" spans="3:8" x14ac:dyDescent="0.25">
      <c r="C263">
        <f t="shared" si="27"/>
        <v>262</v>
      </c>
      <c r="D263" s="24">
        <f t="shared" si="28"/>
        <v>47543</v>
      </c>
      <c r="E263" s="25">
        <f t="shared" si="24"/>
        <v>-960.00129317132473</v>
      </c>
      <c r="F263" s="25">
        <f t="shared" si="25"/>
        <v>-1051.5552491906317</v>
      </c>
      <c r="G263" s="25">
        <f t="shared" si="29"/>
        <v>139247.36526557943</v>
      </c>
      <c r="H263" s="56">
        <f t="shared" si="26"/>
        <v>0.55698946106231773</v>
      </c>
    </row>
    <row r="264" spans="3:8" x14ac:dyDescent="0.25">
      <c r="C264">
        <f t="shared" si="27"/>
        <v>263</v>
      </c>
      <c r="D264" s="24">
        <f t="shared" si="28"/>
        <v>47574</v>
      </c>
      <c r="E264" s="25">
        <f t="shared" si="24"/>
        <v>-967.20130287010966</v>
      </c>
      <c r="F264" s="25">
        <f t="shared" si="25"/>
        <v>-1044.3552394918468</v>
      </c>
      <c r="G264" s="25">
        <f t="shared" si="29"/>
        <v>138280.16396270931</v>
      </c>
      <c r="H264" s="56">
        <f t="shared" si="26"/>
        <v>0.55312065585083725</v>
      </c>
    </row>
    <row r="265" spans="3:8" x14ac:dyDescent="0.25">
      <c r="C265">
        <f t="shared" si="27"/>
        <v>264</v>
      </c>
      <c r="D265" s="24">
        <f t="shared" si="28"/>
        <v>47604</v>
      </c>
      <c r="E265" s="25">
        <f t="shared" si="24"/>
        <v>-974.4553126416356</v>
      </c>
      <c r="F265" s="25">
        <f t="shared" si="25"/>
        <v>-1037.1012297203208</v>
      </c>
      <c r="G265" s="25">
        <f t="shared" si="29"/>
        <v>137305.70865006768</v>
      </c>
      <c r="H265" s="56">
        <f t="shared" si="26"/>
        <v>0.54922283460027077</v>
      </c>
    </row>
    <row r="266" spans="3:8" x14ac:dyDescent="0.25">
      <c r="C266">
        <f t="shared" si="27"/>
        <v>265</v>
      </c>
      <c r="D266" s="24">
        <f t="shared" si="28"/>
        <v>47635</v>
      </c>
      <c r="E266" s="25">
        <f t="shared" si="24"/>
        <v>-981.76372748644792</v>
      </c>
      <c r="F266" s="25">
        <f t="shared" si="25"/>
        <v>-1029.7928148755086</v>
      </c>
      <c r="G266" s="25">
        <f t="shared" si="29"/>
        <v>136323.94492258123</v>
      </c>
      <c r="H266" s="56">
        <f t="shared" si="26"/>
        <v>0.54529577969032494</v>
      </c>
    </row>
    <row r="267" spans="3:8" x14ac:dyDescent="0.25">
      <c r="C267">
        <f t="shared" si="27"/>
        <v>266</v>
      </c>
      <c r="D267" s="24">
        <f t="shared" si="28"/>
        <v>47665</v>
      </c>
      <c r="E267" s="25">
        <f t="shared" si="24"/>
        <v>-989.12695544259623</v>
      </c>
      <c r="F267" s="25">
        <f t="shared" si="25"/>
        <v>-1022.4295869193602</v>
      </c>
      <c r="G267" s="25">
        <f t="shared" si="29"/>
        <v>135334.81796713863</v>
      </c>
      <c r="H267" s="56">
        <f t="shared" si="26"/>
        <v>0.54133927186855457</v>
      </c>
    </row>
    <row r="268" spans="3:8" x14ac:dyDescent="0.25">
      <c r="C268">
        <f t="shared" si="27"/>
        <v>267</v>
      </c>
      <c r="D268" s="24">
        <f t="shared" si="28"/>
        <v>47696</v>
      </c>
      <c r="E268" s="25">
        <f t="shared" si="24"/>
        <v>-996.54540760841564</v>
      </c>
      <c r="F268" s="25">
        <f t="shared" si="25"/>
        <v>-1015.0111347535408</v>
      </c>
      <c r="G268" s="25">
        <f t="shared" si="29"/>
        <v>134338.27255953022</v>
      </c>
      <c r="H268" s="56">
        <f t="shared" si="26"/>
        <v>0.53735309023812083</v>
      </c>
    </row>
    <row r="269" spans="3:8" x14ac:dyDescent="0.25">
      <c r="C269">
        <f t="shared" si="27"/>
        <v>268</v>
      </c>
      <c r="D269" s="24">
        <f t="shared" si="28"/>
        <v>47727</v>
      </c>
      <c r="E269" s="25">
        <f t="shared" si="24"/>
        <v>-1004.0194981654788</v>
      </c>
      <c r="F269" s="25">
        <f t="shared" si="25"/>
        <v>-1007.5370441964776</v>
      </c>
      <c r="G269" s="25">
        <f t="shared" si="29"/>
        <v>133334.25306136472</v>
      </c>
      <c r="H269" s="56">
        <f t="shared" si="26"/>
        <v>0.53333701224545893</v>
      </c>
    </row>
    <row r="270" spans="3:8" x14ac:dyDescent="0.25">
      <c r="C270">
        <f t="shared" si="27"/>
        <v>269</v>
      </c>
      <c r="D270" s="24">
        <f t="shared" si="28"/>
        <v>47757</v>
      </c>
      <c r="E270" s="25">
        <f t="shared" si="24"/>
        <v>-1011.54964440172</v>
      </c>
      <c r="F270" s="25">
        <f t="shared" si="25"/>
        <v>-1000.0068979602364</v>
      </c>
      <c r="G270" s="25">
        <f t="shared" si="29"/>
        <v>132322.70341696299</v>
      </c>
      <c r="H270" s="56">
        <f t="shared" si="26"/>
        <v>0.52929081366785191</v>
      </c>
    </row>
    <row r="271" spans="3:8" x14ac:dyDescent="0.25">
      <c r="C271">
        <f t="shared" si="27"/>
        <v>270</v>
      </c>
      <c r="D271" s="24">
        <f t="shared" si="28"/>
        <v>47788</v>
      </c>
      <c r="E271" s="25">
        <f t="shared" si="24"/>
        <v>-1019.1362667347328</v>
      </c>
      <c r="F271" s="25">
        <f t="shared" si="25"/>
        <v>-992.42027562722365</v>
      </c>
      <c r="G271" s="25">
        <f t="shared" si="29"/>
        <v>131303.56715022825</v>
      </c>
      <c r="H271" s="56">
        <f t="shared" si="26"/>
        <v>0.52521426860091303</v>
      </c>
    </row>
    <row r="272" spans="3:8" x14ac:dyDescent="0.25">
      <c r="C272">
        <f t="shared" si="27"/>
        <v>271</v>
      </c>
      <c r="D272" s="24">
        <f t="shared" si="28"/>
        <v>47818</v>
      </c>
      <c r="E272" s="25">
        <f t="shared" si="24"/>
        <v>-1026.7797887352431</v>
      </c>
      <c r="F272" s="25">
        <f t="shared" si="25"/>
        <v>-984.77675362671334</v>
      </c>
      <c r="G272" s="25">
        <f t="shared" si="29"/>
        <v>130276.787361493</v>
      </c>
      <c r="H272" s="56">
        <f t="shared" si="26"/>
        <v>0.52110714944597203</v>
      </c>
    </row>
    <row r="273" spans="3:8" x14ac:dyDescent="0.25">
      <c r="C273">
        <f t="shared" si="27"/>
        <v>272</v>
      </c>
      <c r="D273" s="24">
        <f t="shared" si="28"/>
        <v>47849</v>
      </c>
      <c r="E273" s="25">
        <f t="shared" si="24"/>
        <v>-1034.4806371507573</v>
      </c>
      <c r="F273" s="25">
        <f t="shared" si="25"/>
        <v>-977.07590521119914</v>
      </c>
      <c r="G273" s="25">
        <f t="shared" si="29"/>
        <v>129242.30672434224</v>
      </c>
      <c r="H273" s="56">
        <f t="shared" si="26"/>
        <v>0.51696922689736902</v>
      </c>
    </row>
    <row r="274" spans="3:8" x14ac:dyDescent="0.25">
      <c r="C274">
        <f t="shared" si="27"/>
        <v>273</v>
      </c>
      <c r="D274" s="24">
        <f t="shared" si="28"/>
        <v>47880</v>
      </c>
      <c r="E274" s="25">
        <f t="shared" si="24"/>
        <v>-1042.2392419293883</v>
      </c>
      <c r="F274" s="25">
        <f t="shared" si="25"/>
        <v>-969.31730043256812</v>
      </c>
      <c r="G274" s="25">
        <f t="shared" si="29"/>
        <v>128200.06748241285</v>
      </c>
      <c r="H274" s="56">
        <f t="shared" si="26"/>
        <v>0.51280026992965144</v>
      </c>
    </row>
    <row r="275" spans="3:8" x14ac:dyDescent="0.25">
      <c r="C275">
        <f t="shared" si="27"/>
        <v>274</v>
      </c>
      <c r="D275" s="24">
        <f t="shared" si="28"/>
        <v>47908</v>
      </c>
      <c r="E275" s="25">
        <f t="shared" si="24"/>
        <v>-1050.0560362438587</v>
      </c>
      <c r="F275" s="25">
        <f t="shared" si="25"/>
        <v>-961.50050611809775</v>
      </c>
      <c r="G275" s="25">
        <f t="shared" si="29"/>
        <v>127150.011446169</v>
      </c>
      <c r="H275" s="56">
        <f t="shared" si="26"/>
        <v>0.50860004578467599</v>
      </c>
    </row>
    <row r="276" spans="3:8" x14ac:dyDescent="0.25">
      <c r="C276">
        <f t="shared" si="27"/>
        <v>275</v>
      </c>
      <c r="D276" s="24">
        <f t="shared" si="28"/>
        <v>47939</v>
      </c>
      <c r="E276" s="25">
        <f t="shared" si="24"/>
        <v>-1057.9314565156874</v>
      </c>
      <c r="F276" s="25">
        <f t="shared" si="25"/>
        <v>-953.62508584626903</v>
      </c>
      <c r="G276" s="25">
        <f t="shared" si="29"/>
        <v>126092.07998965331</v>
      </c>
      <c r="H276" s="56">
        <f t="shared" si="26"/>
        <v>0.50436831995861331</v>
      </c>
    </row>
    <row r="277" spans="3:8" x14ac:dyDescent="0.25">
      <c r="C277">
        <f t="shared" si="27"/>
        <v>276</v>
      </c>
      <c r="D277" s="24">
        <f t="shared" si="28"/>
        <v>47969</v>
      </c>
      <c r="E277" s="25">
        <f t="shared" si="24"/>
        <v>-1065.8659424395551</v>
      </c>
      <c r="F277" s="25">
        <f t="shared" si="25"/>
        <v>-945.69059992240136</v>
      </c>
      <c r="G277" s="25">
        <f t="shared" si="29"/>
        <v>125026.21404721375</v>
      </c>
      <c r="H277" s="56">
        <f t="shared" si="26"/>
        <v>0.50010485618885503</v>
      </c>
    </row>
    <row r="278" spans="3:8" x14ac:dyDescent="0.25">
      <c r="C278">
        <f t="shared" si="27"/>
        <v>277</v>
      </c>
      <c r="D278" s="24">
        <f t="shared" si="28"/>
        <v>48000</v>
      </c>
      <c r="E278" s="25">
        <f t="shared" si="24"/>
        <v>-1073.8599370078518</v>
      </c>
      <c r="F278" s="25">
        <f t="shared" si="25"/>
        <v>-937.69660535410458</v>
      </c>
      <c r="G278" s="25">
        <f t="shared" si="29"/>
        <v>123952.3541102059</v>
      </c>
      <c r="H278" s="56">
        <f t="shared" si="26"/>
        <v>0.4958094164408236</v>
      </c>
    </row>
    <row r="279" spans="3:8" x14ac:dyDescent="0.25">
      <c r="C279">
        <f t="shared" si="27"/>
        <v>278</v>
      </c>
      <c r="D279" s="24">
        <f t="shared" si="28"/>
        <v>48030</v>
      </c>
      <c r="E279" s="25">
        <f t="shared" si="24"/>
        <v>-1081.9138865354107</v>
      </c>
      <c r="F279" s="25">
        <f t="shared" si="25"/>
        <v>-929.64265582654571</v>
      </c>
      <c r="G279" s="25">
        <f t="shared" si="29"/>
        <v>122870.44022367048</v>
      </c>
      <c r="H279" s="56">
        <f t="shared" si="26"/>
        <v>0.49148176089468193</v>
      </c>
    </row>
    <row r="280" spans="3:8" x14ac:dyDescent="0.25">
      <c r="C280">
        <f t="shared" si="27"/>
        <v>279</v>
      </c>
      <c r="D280" s="24">
        <f t="shared" si="28"/>
        <v>48061</v>
      </c>
      <c r="E280" s="25">
        <f t="shared" si="24"/>
        <v>-1090.0282406844265</v>
      </c>
      <c r="F280" s="25">
        <f t="shared" si="25"/>
        <v>-921.52830167752995</v>
      </c>
      <c r="G280" s="25">
        <f t="shared" si="29"/>
        <v>121780.41198298606</v>
      </c>
      <c r="H280" s="56">
        <f t="shared" si="26"/>
        <v>0.48712164793194423</v>
      </c>
    </row>
    <row r="281" spans="3:8" x14ac:dyDescent="0.25">
      <c r="C281">
        <f t="shared" si="27"/>
        <v>280</v>
      </c>
      <c r="D281" s="24">
        <f t="shared" si="28"/>
        <v>48092</v>
      </c>
      <c r="E281" s="25">
        <f t="shared" si="24"/>
        <v>-1098.2034524895596</v>
      </c>
      <c r="F281" s="25">
        <f t="shared" si="25"/>
        <v>-913.35308987239682</v>
      </c>
      <c r="G281" s="25">
        <f t="shared" si="29"/>
        <v>120682.2085304965</v>
      </c>
      <c r="H281" s="56">
        <f t="shared" si="26"/>
        <v>0.48272883412198603</v>
      </c>
    </row>
    <row r="282" spans="3:8" x14ac:dyDescent="0.25">
      <c r="C282">
        <f t="shared" si="27"/>
        <v>281</v>
      </c>
      <c r="D282" s="24">
        <f t="shared" si="28"/>
        <v>48122</v>
      </c>
      <c r="E282" s="25">
        <f t="shared" si="24"/>
        <v>-1106.4399783832314</v>
      </c>
      <c r="F282" s="25">
        <f t="shared" si="25"/>
        <v>-905.11656397872503</v>
      </c>
      <c r="G282" s="25">
        <f t="shared" si="29"/>
        <v>119575.76855211327</v>
      </c>
      <c r="H282" s="56">
        <f t="shared" si="26"/>
        <v>0.47830307420845308</v>
      </c>
    </row>
    <row r="283" spans="3:8" x14ac:dyDescent="0.25">
      <c r="C283">
        <f t="shared" si="27"/>
        <v>282</v>
      </c>
      <c r="D283" s="24">
        <f t="shared" si="28"/>
        <v>48153</v>
      </c>
      <c r="E283" s="25">
        <f t="shared" si="24"/>
        <v>-1114.7382782211055</v>
      </c>
      <c r="F283" s="25">
        <f t="shared" si="25"/>
        <v>-896.81826414085094</v>
      </c>
      <c r="G283" s="25">
        <f t="shared" si="29"/>
        <v>118461.03027389216</v>
      </c>
      <c r="H283" s="56">
        <f t="shared" si="26"/>
        <v>0.47384412109556862</v>
      </c>
    </row>
    <row r="284" spans="3:8" x14ac:dyDescent="0.25">
      <c r="C284">
        <f t="shared" si="27"/>
        <v>283</v>
      </c>
      <c r="D284" s="24">
        <f t="shared" si="28"/>
        <v>48183</v>
      </c>
      <c r="E284" s="25">
        <f t="shared" si="24"/>
        <v>-1123.0988153077637</v>
      </c>
      <c r="F284" s="25">
        <f t="shared" si="25"/>
        <v>-888.45772705419267</v>
      </c>
      <c r="G284" s="25">
        <f t="shared" si="29"/>
        <v>117337.9314585844</v>
      </c>
      <c r="H284" s="56">
        <f t="shared" si="26"/>
        <v>0.4693517258343376</v>
      </c>
    </row>
    <row r="285" spans="3:8" x14ac:dyDescent="0.25">
      <c r="C285">
        <f t="shared" si="27"/>
        <v>284</v>
      </c>
      <c r="D285" s="24">
        <f t="shared" si="28"/>
        <v>48214</v>
      </c>
      <c r="E285" s="25">
        <f t="shared" si="24"/>
        <v>-1131.5220564225719</v>
      </c>
      <c r="F285" s="25">
        <f t="shared" si="25"/>
        <v>-880.03448593938447</v>
      </c>
      <c r="G285" s="25">
        <f t="shared" si="29"/>
        <v>116206.40940216182</v>
      </c>
      <c r="H285" s="56">
        <f t="shared" si="26"/>
        <v>0.46482563760864731</v>
      </c>
    </row>
    <row r="286" spans="3:8" x14ac:dyDescent="0.25">
      <c r="C286">
        <f t="shared" si="27"/>
        <v>285</v>
      </c>
      <c r="D286" s="24">
        <f t="shared" si="28"/>
        <v>48245</v>
      </c>
      <c r="E286" s="25">
        <f t="shared" si="24"/>
        <v>-1140.0084718457415</v>
      </c>
      <c r="F286" s="25">
        <f t="shared" si="25"/>
        <v>-871.54807051621492</v>
      </c>
      <c r="G286" s="25">
        <f t="shared" si="29"/>
        <v>115066.40093031609</v>
      </c>
      <c r="H286" s="56">
        <f t="shared" si="26"/>
        <v>0.46026560372126435</v>
      </c>
    </row>
    <row r="287" spans="3:8" x14ac:dyDescent="0.25">
      <c r="C287">
        <f t="shared" si="27"/>
        <v>286</v>
      </c>
      <c r="D287" s="24">
        <f t="shared" si="28"/>
        <v>48274</v>
      </c>
      <c r="E287" s="25">
        <f t="shared" si="24"/>
        <v>-1148.5585353845845</v>
      </c>
      <c r="F287" s="25">
        <f t="shared" si="25"/>
        <v>-862.99800697737192</v>
      </c>
      <c r="G287" s="25">
        <f t="shared" si="29"/>
        <v>113917.8423949315</v>
      </c>
      <c r="H287" s="56">
        <f t="shared" si="26"/>
        <v>0.45567136957972604</v>
      </c>
    </row>
    <row r="288" spans="3:8" x14ac:dyDescent="0.25">
      <c r="C288">
        <f t="shared" si="27"/>
        <v>287</v>
      </c>
      <c r="D288" s="24">
        <f t="shared" si="28"/>
        <v>48305</v>
      </c>
      <c r="E288" s="25">
        <f t="shared" si="24"/>
        <v>-1157.1727243999687</v>
      </c>
      <c r="F288" s="25">
        <f t="shared" si="25"/>
        <v>-854.38381796198769</v>
      </c>
      <c r="G288" s="25">
        <f t="shared" si="29"/>
        <v>112760.66967053154</v>
      </c>
      <c r="H288" s="56">
        <f t="shared" si="26"/>
        <v>0.45104267868212616</v>
      </c>
    </row>
    <row r="289" spans="3:8" x14ac:dyDescent="0.25">
      <c r="C289">
        <f t="shared" si="27"/>
        <v>288</v>
      </c>
      <c r="D289" s="24">
        <f t="shared" si="28"/>
        <v>48335</v>
      </c>
      <c r="E289" s="25">
        <f t="shared" si="24"/>
        <v>-1165.8515198329685</v>
      </c>
      <c r="F289" s="25">
        <f t="shared" si="25"/>
        <v>-845.70502252898791</v>
      </c>
      <c r="G289" s="25">
        <f t="shared" si="29"/>
        <v>111594.81815069857</v>
      </c>
      <c r="H289" s="56">
        <f t="shared" si="26"/>
        <v>0.44637927260279431</v>
      </c>
    </row>
    <row r="290" spans="3:8" x14ac:dyDescent="0.25">
      <c r="C290">
        <f t="shared" si="27"/>
        <v>289</v>
      </c>
      <c r="D290" s="24">
        <f t="shared" si="28"/>
        <v>48366</v>
      </c>
      <c r="E290" s="25">
        <f t="shared" si="24"/>
        <v>-1174.5954062317157</v>
      </c>
      <c r="F290" s="25">
        <f t="shared" si="25"/>
        <v>-836.96113613024067</v>
      </c>
      <c r="G290" s="25">
        <f t="shared" si="29"/>
        <v>110420.22274446685</v>
      </c>
      <c r="H290" s="56">
        <f t="shared" si="26"/>
        <v>0.44168089097786739</v>
      </c>
    </row>
    <row r="291" spans="3:8" x14ac:dyDescent="0.25">
      <c r="C291">
        <f t="shared" si="27"/>
        <v>290</v>
      </c>
      <c r="D291" s="24">
        <f t="shared" si="28"/>
        <v>48396</v>
      </c>
      <c r="E291" s="25">
        <f t="shared" si="24"/>
        <v>-1183.4048717784538</v>
      </c>
      <c r="F291" s="25">
        <f t="shared" si="25"/>
        <v>-828.15167058350266</v>
      </c>
      <c r="G291" s="25">
        <f t="shared" si="29"/>
        <v>109236.81787268839</v>
      </c>
      <c r="H291" s="56">
        <f t="shared" si="26"/>
        <v>0.43694727149075357</v>
      </c>
    </row>
    <row r="292" spans="3:8" x14ac:dyDescent="0.25">
      <c r="C292">
        <f t="shared" si="27"/>
        <v>291</v>
      </c>
      <c r="D292" s="24">
        <f t="shared" si="28"/>
        <v>48427</v>
      </c>
      <c r="E292" s="25">
        <f t="shared" si="24"/>
        <v>-1192.2804083167921</v>
      </c>
      <c r="F292" s="25">
        <f t="shared" si="25"/>
        <v>-819.27613404516433</v>
      </c>
      <c r="G292" s="25">
        <f t="shared" si="29"/>
        <v>108044.53746437161</v>
      </c>
      <c r="H292" s="56">
        <f t="shared" si="26"/>
        <v>0.43217814985748643</v>
      </c>
    </row>
    <row r="293" spans="3:8" x14ac:dyDescent="0.25">
      <c r="C293">
        <f t="shared" si="27"/>
        <v>292</v>
      </c>
      <c r="D293" s="24">
        <f t="shared" si="28"/>
        <v>48458</v>
      </c>
      <c r="E293" s="25">
        <f t="shared" si="24"/>
        <v>-1201.2225113791681</v>
      </c>
      <c r="F293" s="25">
        <f t="shared" si="25"/>
        <v>-810.33403098278836</v>
      </c>
      <c r="G293" s="25">
        <f t="shared" si="29"/>
        <v>106843.31495299244</v>
      </c>
      <c r="H293" s="56">
        <f t="shared" si="26"/>
        <v>0.42737325981196977</v>
      </c>
    </row>
    <row r="294" spans="3:8" x14ac:dyDescent="0.25">
      <c r="C294">
        <f t="shared" si="27"/>
        <v>293</v>
      </c>
      <c r="D294" s="24">
        <f t="shared" si="28"/>
        <v>48488</v>
      </c>
      <c r="E294" s="25">
        <f t="shared" si="24"/>
        <v>-1210.2316802145119</v>
      </c>
      <c r="F294" s="25">
        <f t="shared" si="25"/>
        <v>-801.32486214744449</v>
      </c>
      <c r="G294" s="25">
        <f t="shared" si="29"/>
        <v>105633.08327277793</v>
      </c>
      <c r="H294" s="56">
        <f t="shared" si="26"/>
        <v>0.42253233309111171</v>
      </c>
    </row>
    <row r="295" spans="3:8" x14ac:dyDescent="0.25">
      <c r="C295">
        <f t="shared" si="27"/>
        <v>294</v>
      </c>
      <c r="D295" s="24">
        <f t="shared" si="28"/>
        <v>48519</v>
      </c>
      <c r="E295" s="25">
        <f t="shared" si="24"/>
        <v>-1219.3084178161207</v>
      </c>
      <c r="F295" s="25">
        <f t="shared" si="25"/>
        <v>-792.24812454583571</v>
      </c>
      <c r="G295" s="25">
        <f t="shared" si="29"/>
        <v>104413.77485496181</v>
      </c>
      <c r="H295" s="56">
        <f t="shared" si="26"/>
        <v>0.41765509941984724</v>
      </c>
    </row>
    <row r="296" spans="3:8" x14ac:dyDescent="0.25">
      <c r="C296">
        <f t="shared" si="27"/>
        <v>295</v>
      </c>
      <c r="D296" s="24">
        <f t="shared" si="28"/>
        <v>48549</v>
      </c>
      <c r="E296" s="25">
        <f t="shared" si="24"/>
        <v>-1228.4532309497415</v>
      </c>
      <c r="F296" s="25">
        <f t="shared" si="25"/>
        <v>-783.10331141221491</v>
      </c>
      <c r="G296" s="25">
        <f t="shared" si="29"/>
        <v>103185.32162401207</v>
      </c>
      <c r="H296" s="56">
        <f t="shared" si="26"/>
        <v>0.41274128649604824</v>
      </c>
    </row>
    <row r="297" spans="3:8" x14ac:dyDescent="0.25">
      <c r="C297">
        <f t="shared" si="27"/>
        <v>296</v>
      </c>
      <c r="D297" s="24">
        <f t="shared" si="28"/>
        <v>48580</v>
      </c>
      <c r="E297" s="25">
        <f t="shared" si="24"/>
        <v>-1237.6666301818645</v>
      </c>
      <c r="F297" s="25">
        <f t="shared" si="25"/>
        <v>-773.88991218009187</v>
      </c>
      <c r="G297" s="25">
        <f t="shared" si="29"/>
        <v>101947.65499383021</v>
      </c>
      <c r="H297" s="56">
        <f t="shared" si="26"/>
        <v>0.40779061997532084</v>
      </c>
    </row>
    <row r="298" spans="3:8" x14ac:dyDescent="0.25">
      <c r="C298">
        <f t="shared" si="27"/>
        <v>297</v>
      </c>
      <c r="D298" s="24">
        <f t="shared" si="28"/>
        <v>48611</v>
      </c>
      <c r="E298" s="25">
        <f t="shared" si="24"/>
        <v>-1246.9491299082285</v>
      </c>
      <c r="F298" s="25">
        <f t="shared" si="25"/>
        <v>-764.60741245372787</v>
      </c>
      <c r="G298" s="25">
        <f t="shared" si="29"/>
        <v>100700.70586392198</v>
      </c>
      <c r="H298" s="56">
        <f t="shared" si="26"/>
        <v>0.40280282345568791</v>
      </c>
    </row>
    <row r="299" spans="3:8" x14ac:dyDescent="0.25">
      <c r="C299">
        <f t="shared" si="27"/>
        <v>298</v>
      </c>
      <c r="D299" s="24">
        <f t="shared" si="28"/>
        <v>48639</v>
      </c>
      <c r="E299" s="25">
        <f t="shared" si="24"/>
        <v>-1256.3012483825403</v>
      </c>
      <c r="F299" s="25">
        <f t="shared" si="25"/>
        <v>-755.25529397941614</v>
      </c>
      <c r="G299" s="25">
        <f t="shared" si="29"/>
        <v>99444.404615539432</v>
      </c>
      <c r="H299" s="56">
        <f t="shared" si="26"/>
        <v>0.3977776184621577</v>
      </c>
    </row>
    <row r="300" spans="3:8" x14ac:dyDescent="0.25">
      <c r="C300">
        <f t="shared" si="27"/>
        <v>299</v>
      </c>
      <c r="D300" s="24">
        <f t="shared" si="28"/>
        <v>48670</v>
      </c>
      <c r="E300" s="25">
        <f t="shared" si="24"/>
        <v>-1265.7235077454093</v>
      </c>
      <c r="F300" s="25">
        <f t="shared" si="25"/>
        <v>-745.83303461654714</v>
      </c>
      <c r="G300" s="25">
        <f t="shared" si="29"/>
        <v>98178.681107794022</v>
      </c>
      <c r="H300" s="56">
        <f t="shared" si="26"/>
        <v>0.39271472443117611</v>
      </c>
    </row>
    <row r="301" spans="3:8" x14ac:dyDescent="0.25">
      <c r="C301">
        <f t="shared" si="27"/>
        <v>300</v>
      </c>
      <c r="D301" s="24">
        <f t="shared" si="28"/>
        <v>48700</v>
      </c>
      <c r="E301" s="25">
        <f t="shared" si="24"/>
        <v>-1275.2164340535001</v>
      </c>
      <c r="F301" s="25">
        <f t="shared" si="25"/>
        <v>-736.34010830845637</v>
      </c>
      <c r="G301" s="25">
        <f t="shared" si="29"/>
        <v>96903.464673740527</v>
      </c>
      <c r="H301" s="56">
        <f t="shared" si="26"/>
        <v>0.38761385869496212</v>
      </c>
    </row>
    <row r="302" spans="3:8" x14ac:dyDescent="0.25">
      <c r="C302">
        <f t="shared" si="27"/>
        <v>301</v>
      </c>
      <c r="D302" s="24">
        <f t="shared" si="28"/>
        <v>48731</v>
      </c>
      <c r="E302" s="25">
        <f t="shared" si="24"/>
        <v>-1284.7805573089011</v>
      </c>
      <c r="F302" s="25">
        <f t="shared" si="25"/>
        <v>-726.77598505305536</v>
      </c>
      <c r="G302" s="25">
        <f t="shared" si="29"/>
        <v>95618.684116431628</v>
      </c>
      <c r="H302" s="56">
        <f t="shared" si="26"/>
        <v>0.38247473646572649</v>
      </c>
    </row>
    <row r="303" spans="3:8" x14ac:dyDescent="0.25">
      <c r="C303">
        <f t="shared" si="27"/>
        <v>302</v>
      </c>
      <c r="D303" s="24">
        <f t="shared" si="28"/>
        <v>48761</v>
      </c>
      <c r="E303" s="25">
        <f t="shared" si="24"/>
        <v>-1294.4164114887178</v>
      </c>
      <c r="F303" s="25">
        <f t="shared" si="25"/>
        <v>-717.1401308732386</v>
      </c>
      <c r="G303" s="25">
        <f t="shared" si="29"/>
        <v>94324.267704942904</v>
      </c>
      <c r="H303" s="56">
        <f t="shared" si="26"/>
        <v>0.3772970708197716</v>
      </c>
    </row>
    <row r="304" spans="3:8" x14ac:dyDescent="0.25">
      <c r="C304">
        <f t="shared" si="27"/>
        <v>303</v>
      </c>
      <c r="D304" s="24">
        <f t="shared" si="28"/>
        <v>48792</v>
      </c>
      <c r="E304" s="25">
        <f t="shared" si="24"/>
        <v>-1304.1245345748835</v>
      </c>
      <c r="F304" s="25">
        <f t="shared" si="25"/>
        <v>-707.43200778707296</v>
      </c>
      <c r="G304" s="25">
        <f t="shared" si="29"/>
        <v>93020.143170368014</v>
      </c>
      <c r="H304" s="56">
        <f t="shared" si="26"/>
        <v>0.37208057268147204</v>
      </c>
    </row>
    <row r="305" spans="3:8" x14ac:dyDescent="0.25">
      <c r="C305">
        <f t="shared" si="27"/>
        <v>304</v>
      </c>
      <c r="D305" s="24">
        <f t="shared" si="28"/>
        <v>48823</v>
      </c>
      <c r="E305" s="25">
        <f t="shared" si="24"/>
        <v>-1313.9054685841948</v>
      </c>
      <c r="F305" s="25">
        <f t="shared" si="25"/>
        <v>-697.65107377776167</v>
      </c>
      <c r="G305" s="25">
        <f t="shared" si="29"/>
        <v>91706.237701783815</v>
      </c>
      <c r="H305" s="56">
        <f t="shared" si="26"/>
        <v>0.36682495080713529</v>
      </c>
    </row>
    <row r="306" spans="3:8" x14ac:dyDescent="0.25">
      <c r="C306">
        <f t="shared" si="27"/>
        <v>305</v>
      </c>
      <c r="D306" s="24">
        <f t="shared" si="28"/>
        <v>48853</v>
      </c>
      <c r="E306" s="25">
        <f t="shared" si="24"/>
        <v>-1323.7597595985762</v>
      </c>
      <c r="F306" s="25">
        <f t="shared" si="25"/>
        <v>-687.79678276338018</v>
      </c>
      <c r="G306" s="25">
        <f t="shared" si="29"/>
        <v>90382.477942185244</v>
      </c>
      <c r="H306" s="56">
        <f t="shared" si="26"/>
        <v>0.361529911768741</v>
      </c>
    </row>
    <row r="307" spans="3:8" x14ac:dyDescent="0.25">
      <c r="C307">
        <f t="shared" si="27"/>
        <v>306</v>
      </c>
      <c r="D307" s="24">
        <f t="shared" si="28"/>
        <v>48884</v>
      </c>
      <c r="E307" s="25">
        <f t="shared" si="24"/>
        <v>-1333.6879577955658</v>
      </c>
      <c r="F307" s="25">
        <f t="shared" si="25"/>
        <v>-677.86858456639061</v>
      </c>
      <c r="G307" s="25">
        <f t="shared" si="29"/>
        <v>89048.789984389674</v>
      </c>
      <c r="H307" s="56">
        <f t="shared" si="26"/>
        <v>0.35619515993755868</v>
      </c>
    </row>
    <row r="308" spans="3:8" x14ac:dyDescent="0.25">
      <c r="C308">
        <f t="shared" si="27"/>
        <v>307</v>
      </c>
      <c r="D308" s="24">
        <f t="shared" si="28"/>
        <v>48914</v>
      </c>
      <c r="E308" s="25">
        <f t="shared" si="24"/>
        <v>-1343.6906174790324</v>
      </c>
      <c r="F308" s="25">
        <f t="shared" si="25"/>
        <v>-667.86592488292399</v>
      </c>
      <c r="G308" s="25">
        <f t="shared" si="29"/>
        <v>87705.099366910639</v>
      </c>
      <c r="H308" s="56">
        <f t="shared" si="26"/>
        <v>0.35082039746764254</v>
      </c>
    </row>
    <row r="309" spans="3:8" x14ac:dyDescent="0.25">
      <c r="C309">
        <f t="shared" si="27"/>
        <v>308</v>
      </c>
      <c r="D309" s="24">
        <f t="shared" si="28"/>
        <v>48945</v>
      </c>
      <c r="E309" s="25">
        <f t="shared" si="24"/>
        <v>-1353.7682971101251</v>
      </c>
      <c r="F309" s="25">
        <f t="shared" si="25"/>
        <v>-657.78824525183131</v>
      </c>
      <c r="G309" s="25">
        <f t="shared" si="29"/>
        <v>86351.331069800508</v>
      </c>
      <c r="H309" s="56">
        <f t="shared" si="26"/>
        <v>0.34540532427920201</v>
      </c>
    </row>
    <row r="310" spans="3:8" x14ac:dyDescent="0.25">
      <c r="C310">
        <f t="shared" si="27"/>
        <v>309</v>
      </c>
      <c r="D310" s="24">
        <f t="shared" si="28"/>
        <v>48976</v>
      </c>
      <c r="E310" s="25">
        <f t="shared" si="24"/>
        <v>-1363.9215593384511</v>
      </c>
      <c r="F310" s="25">
        <f t="shared" si="25"/>
        <v>-647.63498302350536</v>
      </c>
      <c r="G310" s="25">
        <f t="shared" si="29"/>
        <v>84987.40951046205</v>
      </c>
      <c r="H310" s="56">
        <f t="shared" si="26"/>
        <v>0.33994963804184819</v>
      </c>
    </row>
    <row r="311" spans="3:8" x14ac:dyDescent="0.25">
      <c r="C311">
        <f t="shared" si="27"/>
        <v>310</v>
      </c>
      <c r="D311" s="24">
        <f t="shared" si="28"/>
        <v>49004</v>
      </c>
      <c r="E311" s="25">
        <f t="shared" si="24"/>
        <v>-1374.1509710334897</v>
      </c>
      <c r="F311" s="25">
        <f t="shared" si="25"/>
        <v>-637.40557132846675</v>
      </c>
      <c r="G311" s="25">
        <f t="shared" si="29"/>
        <v>83613.258539428556</v>
      </c>
      <c r="H311" s="56">
        <f t="shared" si="26"/>
        <v>0.33445303415771421</v>
      </c>
    </row>
    <row r="312" spans="3:8" x14ac:dyDescent="0.25">
      <c r="C312">
        <f t="shared" si="27"/>
        <v>311</v>
      </c>
      <c r="D312" s="24">
        <f t="shared" si="28"/>
        <v>49035</v>
      </c>
      <c r="E312" s="25">
        <f t="shared" si="24"/>
        <v>-1384.4571033162408</v>
      </c>
      <c r="F312" s="25">
        <f t="shared" si="25"/>
        <v>-627.0994390457156</v>
      </c>
      <c r="G312" s="25">
        <f t="shared" si="29"/>
        <v>82228.801436112321</v>
      </c>
      <c r="H312" s="56">
        <f t="shared" si="26"/>
        <v>0.32891520574444927</v>
      </c>
    </row>
    <row r="313" spans="3:8" x14ac:dyDescent="0.25">
      <c r="C313">
        <f t="shared" si="27"/>
        <v>312</v>
      </c>
      <c r="D313" s="24">
        <f t="shared" si="28"/>
        <v>49065</v>
      </c>
      <c r="E313" s="25">
        <f t="shared" si="24"/>
        <v>-1394.8405315911125</v>
      </c>
      <c r="F313" s="25">
        <f t="shared" si="25"/>
        <v>-616.71601077084392</v>
      </c>
      <c r="G313" s="25">
        <f t="shared" si="29"/>
        <v>80833.960904521213</v>
      </c>
      <c r="H313" s="56">
        <f t="shared" si="26"/>
        <v>0.32333584361808487</v>
      </c>
    </row>
    <row r="314" spans="3:8" x14ac:dyDescent="0.25">
      <c r="C314">
        <f t="shared" si="27"/>
        <v>313</v>
      </c>
      <c r="D314" s="24">
        <f t="shared" si="28"/>
        <v>49096</v>
      </c>
      <c r="E314" s="25">
        <f t="shared" si="24"/>
        <v>-1405.3018355780457</v>
      </c>
      <c r="F314" s="25">
        <f t="shared" si="25"/>
        <v>-606.25470678391071</v>
      </c>
      <c r="G314" s="25">
        <f t="shared" si="29"/>
        <v>79428.659068943161</v>
      </c>
      <c r="H314" s="56">
        <f t="shared" si="26"/>
        <v>0.31771463627577262</v>
      </c>
    </row>
    <row r="315" spans="3:8" x14ac:dyDescent="0.25">
      <c r="C315">
        <f t="shared" si="27"/>
        <v>314</v>
      </c>
      <c r="D315" s="24">
        <f t="shared" si="28"/>
        <v>49126</v>
      </c>
      <c r="E315" s="25">
        <f t="shared" si="24"/>
        <v>-1415.8415993448812</v>
      </c>
      <c r="F315" s="25">
        <f t="shared" si="25"/>
        <v>-595.71494301707526</v>
      </c>
      <c r="G315" s="25">
        <f t="shared" si="29"/>
        <v>78012.817469598274</v>
      </c>
      <c r="H315" s="56">
        <f t="shared" si="26"/>
        <v>0.3120512698783931</v>
      </c>
    </row>
    <row r="316" spans="3:8" x14ac:dyDescent="0.25">
      <c r="C316">
        <f t="shared" si="27"/>
        <v>315</v>
      </c>
      <c r="D316" s="24">
        <f t="shared" si="28"/>
        <v>49157</v>
      </c>
      <c r="E316" s="25">
        <f t="shared" si="24"/>
        <v>-1426.4604113399678</v>
      </c>
      <c r="F316" s="25">
        <f t="shared" si="25"/>
        <v>-585.09613102198864</v>
      </c>
      <c r="G316" s="25">
        <f t="shared" si="29"/>
        <v>76586.357058258305</v>
      </c>
      <c r="H316" s="56">
        <f t="shared" si="26"/>
        <v>0.30634542823303323</v>
      </c>
    </row>
    <row r="317" spans="3:8" x14ac:dyDescent="0.25">
      <c r="C317">
        <f t="shared" si="27"/>
        <v>316</v>
      </c>
      <c r="D317" s="24">
        <f t="shared" si="28"/>
        <v>49188</v>
      </c>
      <c r="E317" s="25">
        <f t="shared" si="24"/>
        <v>-1437.1588644250176</v>
      </c>
      <c r="F317" s="25">
        <f t="shared" si="25"/>
        <v>-574.39767793693886</v>
      </c>
      <c r="G317" s="25">
        <f t="shared" si="29"/>
        <v>75149.19819383329</v>
      </c>
      <c r="H317" s="56">
        <f t="shared" si="26"/>
        <v>0.30059679277533319</v>
      </c>
    </row>
    <row r="318" spans="3:8" x14ac:dyDescent="0.25">
      <c r="C318">
        <f t="shared" si="27"/>
        <v>317</v>
      </c>
      <c r="D318" s="24">
        <f t="shared" si="28"/>
        <v>49218</v>
      </c>
      <c r="E318" s="25">
        <f t="shared" si="24"/>
        <v>-1447.9375559082052</v>
      </c>
      <c r="F318" s="25">
        <f t="shared" si="25"/>
        <v>-563.61898645375118</v>
      </c>
      <c r="G318" s="25">
        <f t="shared" si="29"/>
        <v>73701.260637925079</v>
      </c>
      <c r="H318" s="56">
        <f t="shared" si="26"/>
        <v>0.29480504255170031</v>
      </c>
    </row>
    <row r="319" spans="3:8" x14ac:dyDescent="0.25">
      <c r="C319">
        <f t="shared" si="27"/>
        <v>318</v>
      </c>
      <c r="D319" s="24">
        <f t="shared" si="28"/>
        <v>49249</v>
      </c>
      <c r="E319" s="25">
        <f t="shared" si="24"/>
        <v>-1458.7970875775168</v>
      </c>
      <c r="F319" s="25">
        <f t="shared" si="25"/>
        <v>-552.75945478443964</v>
      </c>
      <c r="G319" s="25">
        <f t="shared" si="29"/>
        <v>72242.463550347558</v>
      </c>
      <c r="H319" s="56">
        <f t="shared" si="26"/>
        <v>0.28896985420139021</v>
      </c>
    </row>
    <row r="320" spans="3:8" x14ac:dyDescent="0.25">
      <c r="C320">
        <f t="shared" si="27"/>
        <v>319</v>
      </c>
      <c r="D320" s="24">
        <f t="shared" si="28"/>
        <v>49279</v>
      </c>
      <c r="E320" s="25">
        <f t="shared" si="24"/>
        <v>-1469.7380657343481</v>
      </c>
      <c r="F320" s="25">
        <f t="shared" si="25"/>
        <v>-541.81847662760833</v>
      </c>
      <c r="G320" s="25">
        <f t="shared" si="29"/>
        <v>70772.725484613213</v>
      </c>
      <c r="H320" s="56">
        <f t="shared" si="26"/>
        <v>0.28309090193845288</v>
      </c>
    </row>
    <row r="321" spans="3:8" x14ac:dyDescent="0.25">
      <c r="C321">
        <f t="shared" si="27"/>
        <v>320</v>
      </c>
      <c r="D321" s="24">
        <f t="shared" si="28"/>
        <v>49310</v>
      </c>
      <c r="E321" s="25">
        <f t="shared" si="24"/>
        <v>-1480.7611012273558</v>
      </c>
      <c r="F321" s="25">
        <f t="shared" si="25"/>
        <v>-530.79544113460065</v>
      </c>
      <c r="G321" s="25">
        <f t="shared" si="29"/>
        <v>69291.964383385857</v>
      </c>
      <c r="H321" s="56">
        <f t="shared" si="26"/>
        <v>0.27716785753354345</v>
      </c>
    </row>
    <row r="322" spans="3:8" x14ac:dyDescent="0.25">
      <c r="C322">
        <f t="shared" si="27"/>
        <v>321</v>
      </c>
      <c r="D322" s="24">
        <f t="shared" si="28"/>
        <v>49341</v>
      </c>
      <c r="E322" s="25">
        <f t="shared" si="24"/>
        <v>-1491.8668094865609</v>
      </c>
      <c r="F322" s="25">
        <f t="shared" si="25"/>
        <v>-519.68973287539552</v>
      </c>
      <c r="G322" s="25">
        <f t="shared" si="29"/>
        <v>67800.0975738993</v>
      </c>
      <c r="H322" s="56">
        <f t="shared" si="26"/>
        <v>0.27120039029559723</v>
      </c>
    </row>
    <row r="323" spans="3:8" x14ac:dyDescent="0.25">
      <c r="C323">
        <f t="shared" si="27"/>
        <v>322</v>
      </c>
      <c r="D323" s="24">
        <f t="shared" si="28"/>
        <v>49369</v>
      </c>
      <c r="E323" s="25">
        <f t="shared" ref="E323:E361" si="30">PPMT($A$9/12,C323,$A$6,$A$3)</f>
        <v>-1503.0558105577102</v>
      </c>
      <c r="F323" s="25">
        <f t="shared" ref="F323:F361" si="31">$A$15-E323</f>
        <v>-508.50073180424624</v>
      </c>
      <c r="G323" s="25">
        <f t="shared" si="29"/>
        <v>66297.041763341593</v>
      </c>
      <c r="H323" s="56">
        <f t="shared" ref="H323:H361" si="32">G323/$A$3</f>
        <v>0.2651881670533664</v>
      </c>
    </row>
    <row r="324" spans="3:8" x14ac:dyDescent="0.25">
      <c r="C324">
        <f t="shared" ref="C324:C361" si="33">C323+1</f>
        <v>323</v>
      </c>
      <c r="D324" s="24">
        <f t="shared" ref="D324:D361" si="34">EDATE(D323,1)</f>
        <v>49400</v>
      </c>
      <c r="E324" s="25">
        <f t="shared" si="30"/>
        <v>-1514.3287291368931</v>
      </c>
      <c r="F324" s="25">
        <f t="shared" si="31"/>
        <v>-497.2278132250633</v>
      </c>
      <c r="G324" s="25">
        <f t="shared" ref="G324:G346" si="35">G323+E324</f>
        <v>64782.713034204702</v>
      </c>
      <c r="H324" s="56">
        <f t="shared" si="32"/>
        <v>0.2591308521368188</v>
      </c>
    </row>
    <row r="325" spans="3:8" x14ac:dyDescent="0.25">
      <c r="C325">
        <f t="shared" si="33"/>
        <v>324</v>
      </c>
      <c r="D325" s="24">
        <f t="shared" si="34"/>
        <v>49430</v>
      </c>
      <c r="E325" s="25">
        <f t="shared" si="30"/>
        <v>-1525.6861946054196</v>
      </c>
      <c r="F325" s="25">
        <f t="shared" si="31"/>
        <v>-485.87034775653683</v>
      </c>
      <c r="G325" s="25">
        <f t="shared" si="35"/>
        <v>63257.026839599283</v>
      </c>
      <c r="H325" s="56">
        <f t="shared" si="32"/>
        <v>0.25302810735839715</v>
      </c>
    </row>
    <row r="326" spans="3:8" x14ac:dyDescent="0.25">
      <c r="C326">
        <f t="shared" si="33"/>
        <v>325</v>
      </c>
      <c r="D326" s="24">
        <f t="shared" si="34"/>
        <v>49461</v>
      </c>
      <c r="E326" s="25">
        <f t="shared" si="30"/>
        <v>-1537.1288410649604</v>
      </c>
      <c r="F326" s="25">
        <f t="shared" si="31"/>
        <v>-474.42770129699602</v>
      </c>
      <c r="G326" s="25">
        <f t="shared" si="35"/>
        <v>61719.897998534325</v>
      </c>
      <c r="H326" s="56">
        <f t="shared" si="32"/>
        <v>0.24687959199413731</v>
      </c>
    </row>
    <row r="327" spans="3:8" x14ac:dyDescent="0.25">
      <c r="C327">
        <f t="shared" si="33"/>
        <v>326</v>
      </c>
      <c r="D327" s="24">
        <f t="shared" si="34"/>
        <v>49491</v>
      </c>
      <c r="E327" s="25">
        <f t="shared" si="30"/>
        <v>-1548.6573073729473</v>
      </c>
      <c r="F327" s="25">
        <f t="shared" si="31"/>
        <v>-462.89923498900907</v>
      </c>
      <c r="G327" s="25">
        <f t="shared" si="35"/>
        <v>60171.24069116138</v>
      </c>
      <c r="H327" s="56">
        <f t="shared" si="32"/>
        <v>0.24068496276464552</v>
      </c>
    </row>
    <row r="328" spans="3:8" x14ac:dyDescent="0.25">
      <c r="C328">
        <f t="shared" si="33"/>
        <v>327</v>
      </c>
      <c r="D328" s="24">
        <f t="shared" si="34"/>
        <v>49522</v>
      </c>
      <c r="E328" s="25">
        <f t="shared" si="30"/>
        <v>-1560.2722371782445</v>
      </c>
      <c r="F328" s="25">
        <f t="shared" si="31"/>
        <v>-451.28430518371192</v>
      </c>
      <c r="G328" s="25">
        <f t="shared" si="35"/>
        <v>58610.968453983136</v>
      </c>
      <c r="H328" s="56">
        <f t="shared" si="32"/>
        <v>0.23444387381593254</v>
      </c>
    </row>
    <row r="329" spans="3:8" x14ac:dyDescent="0.25">
      <c r="C329">
        <f t="shared" si="33"/>
        <v>328</v>
      </c>
      <c r="D329" s="24">
        <f t="shared" si="34"/>
        <v>49553</v>
      </c>
      <c r="E329" s="25">
        <f t="shared" si="30"/>
        <v>-1571.9742789570814</v>
      </c>
      <c r="F329" s="25">
        <f t="shared" si="31"/>
        <v>-439.58226340487499</v>
      </c>
      <c r="G329" s="25">
        <f t="shared" si="35"/>
        <v>57038.994175026055</v>
      </c>
      <c r="H329" s="56">
        <f t="shared" si="32"/>
        <v>0.22815597670010421</v>
      </c>
    </row>
    <row r="330" spans="3:8" x14ac:dyDescent="0.25">
      <c r="C330">
        <f t="shared" si="33"/>
        <v>329</v>
      </c>
      <c r="D330" s="24">
        <f t="shared" si="34"/>
        <v>49583</v>
      </c>
      <c r="E330" s="25">
        <f t="shared" si="30"/>
        <v>-1583.7640860492595</v>
      </c>
      <c r="F330" s="25">
        <f t="shared" si="31"/>
        <v>-427.79245631269691</v>
      </c>
      <c r="G330" s="25">
        <f t="shared" si="35"/>
        <v>55455.230088976794</v>
      </c>
      <c r="H330" s="56">
        <f t="shared" si="32"/>
        <v>0.22182092035590717</v>
      </c>
    </row>
    <row r="331" spans="3:8" x14ac:dyDescent="0.25">
      <c r="C331">
        <f t="shared" si="33"/>
        <v>330</v>
      </c>
      <c r="D331" s="24">
        <f t="shared" si="34"/>
        <v>49614</v>
      </c>
      <c r="E331" s="25">
        <f t="shared" si="30"/>
        <v>-1595.642316694629</v>
      </c>
      <c r="F331" s="25">
        <f t="shared" si="31"/>
        <v>-415.9142256673274</v>
      </c>
      <c r="G331" s="25">
        <f t="shared" si="35"/>
        <v>53859.587772282168</v>
      </c>
      <c r="H331" s="56">
        <f t="shared" si="32"/>
        <v>0.21543835108912868</v>
      </c>
    </row>
    <row r="332" spans="3:8" x14ac:dyDescent="0.25">
      <c r="C332">
        <f t="shared" si="33"/>
        <v>331</v>
      </c>
      <c r="D332" s="24">
        <f t="shared" si="34"/>
        <v>49644</v>
      </c>
      <c r="E332" s="25">
        <f t="shared" si="30"/>
        <v>-1607.6096340698386</v>
      </c>
      <c r="F332" s="25">
        <f t="shared" si="31"/>
        <v>-403.94690829211777</v>
      </c>
      <c r="G332" s="25">
        <f t="shared" si="35"/>
        <v>52251.978138212333</v>
      </c>
      <c r="H332" s="56">
        <f t="shared" si="32"/>
        <v>0.20900791255284934</v>
      </c>
    </row>
    <row r="333" spans="3:8" x14ac:dyDescent="0.25">
      <c r="C333">
        <f t="shared" si="33"/>
        <v>332</v>
      </c>
      <c r="D333" s="24">
        <f t="shared" si="34"/>
        <v>49675</v>
      </c>
      <c r="E333" s="25">
        <f t="shared" si="30"/>
        <v>-1619.6667063253626</v>
      </c>
      <c r="F333" s="25">
        <f t="shared" si="31"/>
        <v>-391.88983603659381</v>
      </c>
      <c r="G333" s="25">
        <f t="shared" si="35"/>
        <v>50632.31143188697</v>
      </c>
      <c r="H333" s="56">
        <f t="shared" si="32"/>
        <v>0.20252924572754788</v>
      </c>
    </row>
    <row r="334" spans="3:8" x14ac:dyDescent="0.25">
      <c r="C334">
        <f t="shared" si="33"/>
        <v>333</v>
      </c>
      <c r="D334" s="24">
        <f t="shared" si="34"/>
        <v>49706</v>
      </c>
      <c r="E334" s="25">
        <f t="shared" si="30"/>
        <v>-1631.8142066228029</v>
      </c>
      <c r="F334" s="25">
        <f t="shared" si="31"/>
        <v>-379.74233573915353</v>
      </c>
      <c r="G334" s="25">
        <f t="shared" si="35"/>
        <v>49000.497225264167</v>
      </c>
      <c r="H334" s="56">
        <f t="shared" si="32"/>
        <v>0.19600198890105666</v>
      </c>
    </row>
    <row r="335" spans="3:8" x14ac:dyDescent="0.25">
      <c r="C335">
        <f t="shared" si="33"/>
        <v>334</v>
      </c>
      <c r="D335" s="24">
        <f t="shared" si="34"/>
        <v>49735</v>
      </c>
      <c r="E335" s="25">
        <f t="shared" si="30"/>
        <v>-1644.0528131724739</v>
      </c>
      <c r="F335" s="25">
        <f t="shared" si="31"/>
        <v>-367.50372918948256</v>
      </c>
      <c r="G335" s="25">
        <f t="shared" si="35"/>
        <v>47356.444412091696</v>
      </c>
      <c r="H335" s="56">
        <f t="shared" si="32"/>
        <v>0.18942577764836679</v>
      </c>
    </row>
    <row r="336" spans="3:8" x14ac:dyDescent="0.25">
      <c r="C336">
        <f t="shared" si="33"/>
        <v>335</v>
      </c>
      <c r="D336" s="24">
        <f t="shared" si="34"/>
        <v>49766</v>
      </c>
      <c r="E336" s="25">
        <f t="shared" si="30"/>
        <v>-1656.3832092712673</v>
      </c>
      <c r="F336" s="25">
        <f t="shared" si="31"/>
        <v>-355.17333309068908</v>
      </c>
      <c r="G336" s="25">
        <f t="shared" si="35"/>
        <v>45700.061202820427</v>
      </c>
      <c r="H336" s="56">
        <f t="shared" si="32"/>
        <v>0.18280024481128171</v>
      </c>
    </row>
    <row r="337" spans="3:8" x14ac:dyDescent="0.25">
      <c r="C337">
        <f t="shared" si="33"/>
        <v>336</v>
      </c>
      <c r="D337" s="24">
        <f t="shared" si="34"/>
        <v>49796</v>
      </c>
      <c r="E337" s="25">
        <f t="shared" si="30"/>
        <v>-1668.8060833408017</v>
      </c>
      <c r="F337" s="25">
        <f t="shared" si="31"/>
        <v>-342.75045902115471</v>
      </c>
      <c r="G337" s="25">
        <f t="shared" si="35"/>
        <v>44031.255119479625</v>
      </c>
      <c r="H337" s="56">
        <f t="shared" si="32"/>
        <v>0.1761250204779185</v>
      </c>
    </row>
    <row r="338" spans="3:8" x14ac:dyDescent="0.25">
      <c r="C338">
        <f t="shared" si="33"/>
        <v>337</v>
      </c>
      <c r="D338" s="24">
        <f t="shared" si="34"/>
        <v>49827</v>
      </c>
      <c r="E338" s="25">
        <f t="shared" si="30"/>
        <v>-1681.3221289658577</v>
      </c>
      <c r="F338" s="25">
        <f t="shared" si="31"/>
        <v>-330.23441339609872</v>
      </c>
      <c r="G338" s="25">
        <f t="shared" si="35"/>
        <v>42349.932990513771</v>
      </c>
      <c r="H338" s="56">
        <f t="shared" si="32"/>
        <v>0.16939973196205507</v>
      </c>
    </row>
    <row r="339" spans="3:8" x14ac:dyDescent="0.25">
      <c r="C339">
        <f t="shared" si="33"/>
        <v>338</v>
      </c>
      <c r="D339" s="24">
        <f t="shared" si="34"/>
        <v>49857</v>
      </c>
      <c r="E339" s="25">
        <f t="shared" si="30"/>
        <v>-1693.9320449331017</v>
      </c>
      <c r="F339" s="25">
        <f t="shared" si="31"/>
        <v>-317.62449742885474</v>
      </c>
      <c r="G339" s="25">
        <f t="shared" si="35"/>
        <v>40656.000945580672</v>
      </c>
      <c r="H339" s="56">
        <f t="shared" si="32"/>
        <v>0.1626240037823227</v>
      </c>
    </row>
    <row r="340" spans="3:8" x14ac:dyDescent="0.25">
      <c r="C340">
        <f t="shared" si="33"/>
        <v>339</v>
      </c>
      <c r="D340" s="24">
        <f t="shared" si="34"/>
        <v>49888</v>
      </c>
      <c r="E340" s="25">
        <f t="shared" si="30"/>
        <v>-1706.6365352701</v>
      </c>
      <c r="F340" s="25">
        <f t="shared" si="31"/>
        <v>-304.92000709185641</v>
      </c>
      <c r="G340" s="25">
        <f t="shared" si="35"/>
        <v>38949.364410310569</v>
      </c>
      <c r="H340" s="56">
        <f t="shared" si="32"/>
        <v>0.15579745764124228</v>
      </c>
    </row>
    <row r="341" spans="3:8" x14ac:dyDescent="0.25">
      <c r="C341">
        <f t="shared" si="33"/>
        <v>340</v>
      </c>
      <c r="D341" s="24">
        <f t="shared" si="34"/>
        <v>49919</v>
      </c>
      <c r="E341" s="25">
        <f t="shared" si="30"/>
        <v>-1719.4363092846258</v>
      </c>
      <c r="F341" s="25">
        <f t="shared" si="31"/>
        <v>-292.12023307733057</v>
      </c>
      <c r="G341" s="25">
        <f t="shared" si="35"/>
        <v>37229.928101025944</v>
      </c>
      <c r="H341" s="56">
        <f t="shared" si="32"/>
        <v>0.14891971240410379</v>
      </c>
    </row>
    <row r="342" spans="3:8" x14ac:dyDescent="0.25">
      <c r="C342">
        <f t="shared" si="33"/>
        <v>341</v>
      </c>
      <c r="D342" s="24">
        <f t="shared" si="34"/>
        <v>49949</v>
      </c>
      <c r="E342" s="25">
        <f t="shared" si="30"/>
        <v>-1732.3320816042606</v>
      </c>
      <c r="F342" s="25">
        <f t="shared" si="31"/>
        <v>-279.22446075769585</v>
      </c>
      <c r="G342" s="25">
        <f t="shared" si="35"/>
        <v>35497.596019421682</v>
      </c>
      <c r="H342" s="56">
        <f t="shared" si="32"/>
        <v>0.14199038407768672</v>
      </c>
    </row>
    <row r="343" spans="3:8" x14ac:dyDescent="0.25">
      <c r="C343">
        <f t="shared" si="33"/>
        <v>342</v>
      </c>
      <c r="D343" s="24">
        <f t="shared" si="34"/>
        <v>49980</v>
      </c>
      <c r="E343" s="25">
        <f t="shared" si="30"/>
        <v>-1745.3245722162926</v>
      </c>
      <c r="F343" s="25">
        <f t="shared" si="31"/>
        <v>-266.23197014566381</v>
      </c>
      <c r="G343" s="25">
        <f t="shared" si="35"/>
        <v>33752.271447205392</v>
      </c>
      <c r="H343" s="56">
        <f t="shared" si="32"/>
        <v>0.13500908578882156</v>
      </c>
    </row>
    <row r="344" spans="3:8" x14ac:dyDescent="0.25">
      <c r="C344">
        <f t="shared" si="33"/>
        <v>343</v>
      </c>
      <c r="D344" s="24">
        <f t="shared" si="34"/>
        <v>50010</v>
      </c>
      <c r="E344" s="25">
        <f t="shared" si="30"/>
        <v>-1758.4145065079147</v>
      </c>
      <c r="F344" s="25">
        <f t="shared" si="31"/>
        <v>-253.14203585404175</v>
      </c>
      <c r="G344" s="25">
        <f t="shared" si="35"/>
        <v>31993.856940697478</v>
      </c>
      <c r="H344" s="56">
        <f t="shared" si="32"/>
        <v>0.12797542776278992</v>
      </c>
    </row>
    <row r="345" spans="3:8" x14ac:dyDescent="0.25">
      <c r="C345">
        <f t="shared" si="33"/>
        <v>344</v>
      </c>
      <c r="D345" s="24">
        <f t="shared" si="34"/>
        <v>50041</v>
      </c>
      <c r="E345" s="25">
        <f t="shared" si="30"/>
        <v>-1771.6026153067241</v>
      </c>
      <c r="F345" s="25">
        <f t="shared" si="31"/>
        <v>-239.95392705523227</v>
      </c>
      <c r="G345" s="25">
        <f t="shared" si="35"/>
        <v>30222.254325390753</v>
      </c>
      <c r="H345" s="56">
        <f t="shared" si="32"/>
        <v>0.12088901730156301</v>
      </c>
    </row>
    <row r="346" spans="3:8" x14ac:dyDescent="0.25">
      <c r="C346">
        <f t="shared" si="33"/>
        <v>345</v>
      </c>
      <c r="D346" s="24">
        <f t="shared" si="34"/>
        <v>50072</v>
      </c>
      <c r="E346" s="25">
        <f t="shared" si="30"/>
        <v>-1784.8896349215242</v>
      </c>
      <c r="F346" s="25">
        <f t="shared" si="31"/>
        <v>-226.66690744043217</v>
      </c>
      <c r="G346" s="25">
        <f t="shared" si="35"/>
        <v>28437.364690469229</v>
      </c>
      <c r="H346" s="56">
        <f t="shared" si="32"/>
        <v>0.11374945876187692</v>
      </c>
    </row>
    <row r="347" spans="3:8" x14ac:dyDescent="0.25">
      <c r="C347">
        <f t="shared" si="33"/>
        <v>346</v>
      </c>
      <c r="D347" s="24">
        <f t="shared" si="34"/>
        <v>50100</v>
      </c>
      <c r="E347" s="25">
        <f t="shared" si="30"/>
        <v>-1798.2763071834358</v>
      </c>
      <c r="F347" s="25">
        <f t="shared" si="31"/>
        <v>-213.28023517852057</v>
      </c>
      <c r="G347" s="25">
        <f>G346+E347</f>
        <v>26639.088383285794</v>
      </c>
      <c r="H347" s="56">
        <f t="shared" si="32"/>
        <v>0.10655635353314317</v>
      </c>
    </row>
    <row r="348" spans="3:8" x14ac:dyDescent="0.25">
      <c r="C348">
        <f t="shared" si="33"/>
        <v>347</v>
      </c>
      <c r="D348" s="24">
        <f t="shared" si="34"/>
        <v>50131</v>
      </c>
      <c r="E348" s="25">
        <f t="shared" si="30"/>
        <v>-1811.7633794873116</v>
      </c>
      <c r="F348" s="25">
        <f t="shared" si="31"/>
        <v>-199.79316287464485</v>
      </c>
      <c r="G348" s="25">
        <f t="shared" ref="G348:G361" si="36">G347+E348</f>
        <v>24827.325003798484</v>
      </c>
      <c r="H348" s="56">
        <f t="shared" si="32"/>
        <v>9.9309300015193933E-2</v>
      </c>
    </row>
    <row r="349" spans="3:8" x14ac:dyDescent="0.25">
      <c r="C349">
        <f t="shared" si="33"/>
        <v>348</v>
      </c>
      <c r="D349" s="24">
        <f t="shared" si="34"/>
        <v>50161</v>
      </c>
      <c r="E349" s="25">
        <f t="shared" si="30"/>
        <v>-1825.3516048334664</v>
      </c>
      <c r="F349" s="25">
        <f t="shared" si="31"/>
        <v>-186.20493752849006</v>
      </c>
      <c r="G349" s="25">
        <f t="shared" si="36"/>
        <v>23001.973398965016</v>
      </c>
      <c r="H349" s="56">
        <f t="shared" si="32"/>
        <v>9.2007893595860063E-2</v>
      </c>
    </row>
    <row r="350" spans="3:8" x14ac:dyDescent="0.25">
      <c r="C350">
        <f t="shared" si="33"/>
        <v>349</v>
      </c>
      <c r="D350" s="24">
        <f t="shared" si="34"/>
        <v>50192</v>
      </c>
      <c r="E350" s="25">
        <f t="shared" si="30"/>
        <v>-1839.0417418697175</v>
      </c>
      <c r="F350" s="25">
        <f t="shared" si="31"/>
        <v>-172.51480049223892</v>
      </c>
      <c r="G350" s="25">
        <f t="shared" si="36"/>
        <v>21162.931657095298</v>
      </c>
      <c r="H350" s="56">
        <f t="shared" si="32"/>
        <v>8.4651726628381191E-2</v>
      </c>
    </row>
    <row r="351" spans="3:8" x14ac:dyDescent="0.25">
      <c r="C351">
        <f t="shared" si="33"/>
        <v>350</v>
      </c>
      <c r="D351" s="24">
        <f t="shared" si="34"/>
        <v>50222</v>
      </c>
      <c r="E351" s="25">
        <f t="shared" si="30"/>
        <v>-1852.8345549337403</v>
      </c>
      <c r="F351" s="25">
        <f t="shared" si="31"/>
        <v>-158.72198742821615</v>
      </c>
      <c r="G351" s="25">
        <f t="shared" si="36"/>
        <v>19310.097102161559</v>
      </c>
      <c r="H351" s="56">
        <f t="shared" si="32"/>
        <v>7.7240388408646235E-2</v>
      </c>
    </row>
    <row r="352" spans="3:8" x14ac:dyDescent="0.25">
      <c r="C352">
        <f t="shared" si="33"/>
        <v>351</v>
      </c>
      <c r="D352" s="24">
        <f t="shared" si="34"/>
        <v>50253</v>
      </c>
      <c r="E352" s="25">
        <f t="shared" si="30"/>
        <v>-1866.7308140957432</v>
      </c>
      <c r="F352" s="25">
        <f t="shared" si="31"/>
        <v>-144.82572826621322</v>
      </c>
      <c r="G352" s="25">
        <f t="shared" si="36"/>
        <v>17443.366288065816</v>
      </c>
      <c r="H352" s="56">
        <f t="shared" si="32"/>
        <v>6.9773465152263264E-2</v>
      </c>
    </row>
    <row r="353" spans="3:8" x14ac:dyDescent="0.25">
      <c r="C353">
        <f t="shared" si="33"/>
        <v>352</v>
      </c>
      <c r="D353" s="24">
        <f t="shared" si="34"/>
        <v>50284</v>
      </c>
      <c r="E353" s="25">
        <f t="shared" si="30"/>
        <v>-1880.7312952014615</v>
      </c>
      <c r="F353" s="25">
        <f t="shared" si="31"/>
        <v>-130.82524716049488</v>
      </c>
      <c r="G353" s="25">
        <f t="shared" si="36"/>
        <v>15562.634992864354</v>
      </c>
      <c r="H353" s="56">
        <f t="shared" si="32"/>
        <v>6.2250539971457415E-2</v>
      </c>
    </row>
    <row r="354" spans="3:8" x14ac:dyDescent="0.25">
      <c r="C354">
        <f t="shared" si="33"/>
        <v>353</v>
      </c>
      <c r="D354" s="24">
        <f t="shared" si="34"/>
        <v>50314</v>
      </c>
      <c r="E354" s="25">
        <f t="shared" si="30"/>
        <v>-1894.8367799154723</v>
      </c>
      <c r="F354" s="25">
        <f t="shared" si="31"/>
        <v>-116.71976244648408</v>
      </c>
      <c r="G354" s="25">
        <f t="shared" si="36"/>
        <v>13667.798212948881</v>
      </c>
      <c r="H354" s="56">
        <f t="shared" si="32"/>
        <v>5.4671192851795523E-2</v>
      </c>
    </row>
    <row r="355" spans="3:8" x14ac:dyDescent="0.25">
      <c r="C355">
        <f t="shared" si="33"/>
        <v>354</v>
      </c>
      <c r="D355" s="24">
        <f t="shared" si="34"/>
        <v>50345</v>
      </c>
      <c r="E355" s="25">
        <f t="shared" si="30"/>
        <v>-1909.0480557648384</v>
      </c>
      <c r="F355" s="25">
        <f t="shared" si="31"/>
        <v>-102.50848659711801</v>
      </c>
      <c r="G355" s="25">
        <f t="shared" si="36"/>
        <v>11758.750157184042</v>
      </c>
      <c r="H355" s="56">
        <f t="shared" si="32"/>
        <v>4.7035000628736168E-2</v>
      </c>
    </row>
    <row r="356" spans="3:8" x14ac:dyDescent="0.25">
      <c r="C356">
        <f t="shared" si="33"/>
        <v>355</v>
      </c>
      <c r="D356" s="24">
        <f t="shared" si="34"/>
        <v>50375</v>
      </c>
      <c r="E356" s="25">
        <f t="shared" si="30"/>
        <v>-1923.3659161830747</v>
      </c>
      <c r="F356" s="25">
        <f t="shared" si="31"/>
        <v>-88.190626178881757</v>
      </c>
      <c r="G356" s="25">
        <f t="shared" si="36"/>
        <v>9835.3842410009674</v>
      </c>
      <c r="H356" s="56">
        <f t="shared" si="32"/>
        <v>3.9341536964003873E-2</v>
      </c>
    </row>
    <row r="357" spans="3:8" x14ac:dyDescent="0.25">
      <c r="C357">
        <f t="shared" si="33"/>
        <v>356</v>
      </c>
      <c r="D357" s="24">
        <f t="shared" si="34"/>
        <v>50406</v>
      </c>
      <c r="E357" s="25">
        <f t="shared" si="30"/>
        <v>-1937.7911605544477</v>
      </c>
      <c r="F357" s="25">
        <f t="shared" si="31"/>
        <v>-73.765381807508675</v>
      </c>
      <c r="G357" s="25">
        <f t="shared" si="36"/>
        <v>7897.5930804465197</v>
      </c>
      <c r="H357" s="56">
        <f t="shared" si="32"/>
        <v>3.1590372321786075E-2</v>
      </c>
    </row>
    <row r="358" spans="3:8" x14ac:dyDescent="0.25">
      <c r="C358">
        <f t="shared" si="33"/>
        <v>357</v>
      </c>
      <c r="D358" s="24">
        <f t="shared" si="34"/>
        <v>50437</v>
      </c>
      <c r="E358" s="25">
        <f t="shared" si="30"/>
        <v>-1952.3245942586061</v>
      </c>
      <c r="F358" s="25">
        <f t="shared" si="31"/>
        <v>-59.231948103350305</v>
      </c>
      <c r="G358" s="25">
        <f t="shared" si="36"/>
        <v>5945.2684861879134</v>
      </c>
      <c r="H358" s="56">
        <f t="shared" si="32"/>
        <v>2.3781073944751655E-2</v>
      </c>
    </row>
    <row r="359" spans="3:8" x14ac:dyDescent="0.25">
      <c r="C359">
        <f t="shared" si="33"/>
        <v>358</v>
      </c>
      <c r="D359" s="24">
        <f t="shared" si="34"/>
        <v>50465</v>
      </c>
      <c r="E359" s="25">
        <f t="shared" si="30"/>
        <v>-1966.9670287155459</v>
      </c>
      <c r="F359" s="25">
        <f t="shared" si="31"/>
        <v>-44.589513646410524</v>
      </c>
      <c r="G359" s="25">
        <f t="shared" si="36"/>
        <v>3978.3014574723675</v>
      </c>
      <c r="H359" s="56">
        <f t="shared" si="32"/>
        <v>1.5913205829889469E-2</v>
      </c>
    </row>
    <row r="360" spans="3:8" x14ac:dyDescent="0.25">
      <c r="C360">
        <f t="shared" si="33"/>
        <v>359</v>
      </c>
      <c r="D360" s="24">
        <f t="shared" si="34"/>
        <v>50496</v>
      </c>
      <c r="E360" s="25">
        <f t="shared" si="30"/>
        <v>-1981.7192814309124</v>
      </c>
      <c r="F360" s="25">
        <f t="shared" si="31"/>
        <v>-29.837260931044057</v>
      </c>
      <c r="G360" s="25">
        <f t="shared" si="36"/>
        <v>1996.5821760414551</v>
      </c>
      <c r="H360" s="56">
        <f t="shared" si="32"/>
        <v>7.9863287041658203E-3</v>
      </c>
    </row>
    <row r="361" spans="3:8" x14ac:dyDescent="0.25">
      <c r="C361">
        <f t="shared" si="33"/>
        <v>360</v>
      </c>
      <c r="D361" s="24">
        <f t="shared" si="34"/>
        <v>50526</v>
      </c>
      <c r="E361" s="25">
        <f t="shared" si="30"/>
        <v>-1996.5821760416443</v>
      </c>
      <c r="F361" s="25">
        <f t="shared" si="31"/>
        <v>-14.974366320312129</v>
      </c>
      <c r="G361" s="25">
        <f t="shared" si="36"/>
        <v>-1.8917489796876907E-10</v>
      </c>
      <c r="H361" s="56">
        <f t="shared" si="32"/>
        <v>-7.5669959187507625E-16</v>
      </c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45E46-8B3B-4F85-B0BD-6278C4A3BFE9}">
  <sheetPr codeName="Sheet3"/>
  <dimension ref="A2:Q390"/>
  <sheetViews>
    <sheetView zoomScale="70" zoomScaleNormal="70" workbookViewId="0">
      <pane ySplit="30" topLeftCell="A31" activePane="bottomLeft" state="frozen"/>
      <selection pane="bottomLeft" activeCell="B31" sqref="B31"/>
    </sheetView>
  </sheetViews>
  <sheetFormatPr defaultColWidth="9.140625" defaultRowHeight="15" x14ac:dyDescent="0.25"/>
  <cols>
    <col min="1" max="1" width="14.7109375" customWidth="1"/>
    <col min="2" max="2" width="23" style="34" customWidth="1"/>
    <col min="3" max="3" width="19.85546875" style="34" customWidth="1"/>
    <col min="4" max="4" width="13" style="35" customWidth="1"/>
    <col min="5" max="5" width="10.7109375" customWidth="1"/>
    <col min="6" max="6" width="19.42578125" customWidth="1"/>
    <col min="7" max="7" width="19.42578125" style="27" customWidth="1"/>
    <col min="8" max="8" width="14.5703125" style="3" customWidth="1"/>
    <col min="9" max="9" width="20.5703125" customWidth="1"/>
    <col min="10" max="10" width="19.7109375" customWidth="1"/>
    <col min="11" max="11" width="17.7109375" customWidth="1"/>
    <col min="14" max="14" width="14.28515625" customWidth="1"/>
    <col min="15" max="15" width="18.85546875" bestFit="1" customWidth="1"/>
    <col min="17" max="17" width="12.28515625" bestFit="1" customWidth="1"/>
  </cols>
  <sheetData>
    <row r="2" spans="8:9" ht="18" customHeight="1" x14ac:dyDescent="0.25">
      <c r="H2" s="4" t="s">
        <v>0</v>
      </c>
      <c r="I2" s="5" t="e">
        <f>AVERAGE(C31:C390)</f>
        <v>#DIV/0!</v>
      </c>
    </row>
    <row r="3" spans="8:9" x14ac:dyDescent="0.25">
      <c r="H3" s="6"/>
      <c r="I3" s="7"/>
    </row>
    <row r="4" spans="8:9" ht="14.25" customHeight="1" x14ac:dyDescent="0.25">
      <c r="H4" s="8" t="s">
        <v>1</v>
      </c>
      <c r="I4" s="5">
        <f>SUM(C31:D390) + 45003.31</f>
        <v>45003.31</v>
      </c>
    </row>
    <row r="5" spans="8:9" hidden="1" x14ac:dyDescent="0.25">
      <c r="H5" s="9"/>
      <c r="I5" s="10"/>
    </row>
    <row r="6" spans="8:9" x14ac:dyDescent="0.25">
      <c r="H6" s="9"/>
      <c r="I6" s="10"/>
    </row>
    <row r="7" spans="8:9" x14ac:dyDescent="0.25">
      <c r="H7" s="11" t="s">
        <v>15</v>
      </c>
      <c r="I7" s="12">
        <v>125786.24000000001</v>
      </c>
    </row>
    <row r="8" spans="8:9" x14ac:dyDescent="0.25">
      <c r="H8" s="9"/>
      <c r="I8" s="10"/>
    </row>
    <row r="9" spans="8:9" x14ac:dyDescent="0.25">
      <c r="H9" s="11" t="s">
        <v>16</v>
      </c>
      <c r="I9" s="13" t="s">
        <v>21</v>
      </c>
    </row>
    <row r="10" spans="8:9" x14ac:dyDescent="0.25">
      <c r="H10" s="9"/>
      <c r="I10" s="10"/>
    </row>
    <row r="11" spans="8:9" x14ac:dyDescent="0.25">
      <c r="H11" s="11" t="s">
        <v>17</v>
      </c>
      <c r="I11" s="14">
        <v>189</v>
      </c>
    </row>
    <row r="12" spans="8:9" x14ac:dyDescent="0.25">
      <c r="H12" s="9"/>
      <c r="I12" s="10"/>
    </row>
    <row r="13" spans="8:9" x14ac:dyDescent="0.25">
      <c r="H13" s="11" t="s">
        <v>18</v>
      </c>
      <c r="I13" s="13" t="s">
        <v>22</v>
      </c>
    </row>
    <row r="14" spans="8:9" x14ac:dyDescent="0.25">
      <c r="H14" s="9"/>
      <c r="I14" s="10"/>
    </row>
    <row r="15" spans="8:9" x14ac:dyDescent="0.25">
      <c r="H15" s="11" t="s">
        <v>19</v>
      </c>
      <c r="I15" s="14">
        <v>154</v>
      </c>
    </row>
    <row r="16" spans="8:9" x14ac:dyDescent="0.25">
      <c r="H16" s="9"/>
      <c r="I16" s="10"/>
    </row>
    <row r="17" spans="1:17" x14ac:dyDescent="0.25">
      <c r="H17" s="11" t="s">
        <v>2</v>
      </c>
      <c r="I17" s="5">
        <f>I7+I4</f>
        <v>170789.55</v>
      </c>
    </row>
    <row r="18" spans="1:17" x14ac:dyDescent="0.25">
      <c r="H18" s="9"/>
      <c r="I18" s="10"/>
    </row>
    <row r="19" spans="1:17" x14ac:dyDescent="0.25">
      <c r="H19" s="9"/>
      <c r="I19" s="10"/>
    </row>
    <row r="20" spans="1:17" x14ac:dyDescent="0.25">
      <c r="H20" s="9"/>
      <c r="I20" s="10"/>
    </row>
    <row r="21" spans="1:17" x14ac:dyDescent="0.25">
      <c r="H21" s="9"/>
      <c r="I21" s="10"/>
    </row>
    <row r="22" spans="1:17" x14ac:dyDescent="0.25">
      <c r="H22" s="9"/>
      <c r="I22" s="10"/>
    </row>
    <row r="23" spans="1:17" x14ac:dyDescent="0.25">
      <c r="H23" s="9"/>
      <c r="I23" s="10"/>
    </row>
    <row r="24" spans="1:17" ht="70.5" customHeight="1" x14ac:dyDescent="0.25">
      <c r="H24" s="9"/>
      <c r="I24" s="10"/>
    </row>
    <row r="25" spans="1:17" ht="21" customHeight="1" x14ac:dyDescent="0.25">
      <c r="H25" s="9"/>
      <c r="I25" s="10"/>
    </row>
    <row r="26" spans="1:17" ht="21" customHeight="1" x14ac:dyDescent="0.25">
      <c r="A26" t="s">
        <v>3</v>
      </c>
      <c r="B26" s="36" t="s">
        <v>4</v>
      </c>
      <c r="C26" s="37" t="s">
        <v>5</v>
      </c>
      <c r="D26" s="38" t="s">
        <v>6</v>
      </c>
      <c r="E26" t="s">
        <v>7</v>
      </c>
      <c r="F26" t="s">
        <v>8</v>
      </c>
      <c r="G26" s="27" t="s">
        <v>14</v>
      </c>
      <c r="H26" s="3" t="s">
        <v>9</v>
      </c>
      <c r="I26" t="s">
        <v>10</v>
      </c>
      <c r="J26" t="s">
        <v>11</v>
      </c>
      <c r="K26" t="s">
        <v>12</v>
      </c>
      <c r="N26" t="s">
        <v>13</v>
      </c>
      <c r="O26" t="s">
        <v>20</v>
      </c>
    </row>
    <row r="27" spans="1:17" ht="0.75" customHeight="1" x14ac:dyDescent="0.25">
      <c r="H27" s="9"/>
      <c r="I27" s="15"/>
    </row>
    <row r="28" spans="1:17" ht="22.5" hidden="1" customHeight="1" x14ac:dyDescent="0.25">
      <c r="H28" s="6"/>
      <c r="I28" s="16"/>
    </row>
    <row r="29" spans="1:17" ht="9.75" hidden="1" customHeight="1" x14ac:dyDescent="0.25">
      <c r="H29" s="17"/>
    </row>
    <row r="30" spans="1:17" s="2" customFormat="1" hidden="1" x14ac:dyDescent="0.25">
      <c r="B30" s="35"/>
      <c r="C30" s="35"/>
      <c r="D30" s="35"/>
      <c r="G30" s="45"/>
      <c r="H30" s="18"/>
    </row>
    <row r="31" spans="1:17" s="2" customFormat="1" x14ac:dyDescent="0.25">
      <c r="A31" s="19">
        <f>'1 - Amortisation'!A12</f>
        <v>39600</v>
      </c>
      <c r="B31" s="57"/>
      <c r="C31" s="57"/>
      <c r="D31" s="57"/>
      <c r="E31" s="58"/>
      <c r="F31" s="59"/>
      <c r="G31" s="46">
        <f>C31</f>
        <v>0</v>
      </c>
      <c r="H31" s="22" t="e">
        <f>F31/$F$31</f>
        <v>#DIV/0!</v>
      </c>
      <c r="I31" s="23">
        <f>'1 - Amortisation'!G2</f>
        <v>249863.44345763803</v>
      </c>
      <c r="Q31" s="43"/>
    </row>
    <row r="32" spans="1:17" x14ac:dyDescent="0.25">
      <c r="A32" s="24">
        <f>EDATE(A31,1)</f>
        <v>39630</v>
      </c>
      <c r="B32" s="57"/>
      <c r="C32" s="57"/>
      <c r="D32" s="57"/>
      <c r="E32" s="58"/>
      <c r="F32" s="59"/>
      <c r="G32" s="46">
        <f>G31+C32</f>
        <v>0</v>
      </c>
      <c r="H32" s="22" t="e">
        <f>F32/$F$31</f>
        <v>#DIV/0!</v>
      </c>
      <c r="I32" s="23">
        <f>'1 - Amortisation'!G3</f>
        <v>249725.86274120834</v>
      </c>
      <c r="J32" s="25">
        <f>I31-I32</f>
        <v>137.58071642968571</v>
      </c>
      <c r="K32" s="25">
        <f>I32-F32</f>
        <v>249725.86274120834</v>
      </c>
      <c r="M32" s="26" t="e">
        <f>B32/D32</f>
        <v>#DIV/0!</v>
      </c>
      <c r="N32" s="1">
        <f>F31-F32</f>
        <v>0</v>
      </c>
      <c r="O32" s="44">
        <f t="shared" ref="O32:O95" si="0">F32+G32</f>
        <v>0</v>
      </c>
      <c r="Q32" s="43"/>
    </row>
    <row r="33" spans="1:17" x14ac:dyDescent="0.25">
      <c r="A33" s="24">
        <f t="shared" ref="A33:A96" si="1">EDATE(A32,1)</f>
        <v>39661</v>
      </c>
      <c r="B33" s="57"/>
      <c r="C33" s="57"/>
      <c r="D33" s="57"/>
      <c r="E33" s="58"/>
      <c r="F33" s="59"/>
      <c r="G33" s="46">
        <f t="shared" ref="G33:G96" si="2">G32+C33</f>
        <v>0</v>
      </c>
      <c r="H33" s="22" t="e">
        <f t="shared" ref="H33:H96" si="3">F33/$F$31</f>
        <v>#DIV/0!</v>
      </c>
      <c r="I33" s="23">
        <f>'1 - Amortisation'!G4</f>
        <v>249587.25016940545</v>
      </c>
      <c r="J33" s="25">
        <f t="shared" ref="J33:J96" si="4">I32-I33</f>
        <v>138.61257180289249</v>
      </c>
      <c r="K33" s="25">
        <f t="shared" ref="K33:K116" si="5">I33-F33</f>
        <v>249587.25016940545</v>
      </c>
      <c r="M33" s="26" t="e">
        <f t="shared" ref="M33:M96" si="6">B33/D33</f>
        <v>#DIV/0!</v>
      </c>
      <c r="N33" s="1">
        <f t="shared" ref="N33:N85" si="7">F32-F33</f>
        <v>0</v>
      </c>
      <c r="O33" s="44">
        <f t="shared" si="0"/>
        <v>0</v>
      </c>
      <c r="Q33" s="43"/>
    </row>
    <row r="34" spans="1:17" x14ac:dyDescent="0.25">
      <c r="A34" s="24">
        <f t="shared" si="1"/>
        <v>39692</v>
      </c>
      <c r="B34" s="57"/>
      <c r="C34" s="57"/>
      <c r="D34" s="57"/>
      <c r="E34" s="58"/>
      <c r="F34" s="59"/>
      <c r="G34" s="46">
        <f t="shared" si="2"/>
        <v>0</v>
      </c>
      <c r="H34" s="22" t="e">
        <f t="shared" si="3"/>
        <v>#DIV/0!</v>
      </c>
      <c r="I34" s="23">
        <f>'1 - Amortisation'!G5</f>
        <v>249447.59800331402</v>
      </c>
      <c r="J34" s="25">
        <f t="shared" si="4"/>
        <v>139.65216609142954</v>
      </c>
      <c r="K34" s="25">
        <f t="shared" si="5"/>
        <v>249447.59800331402</v>
      </c>
      <c r="M34" s="26" t="e">
        <f t="shared" si="6"/>
        <v>#DIV/0!</v>
      </c>
      <c r="N34" s="1">
        <f t="shared" si="7"/>
        <v>0</v>
      </c>
      <c r="O34" s="44">
        <f t="shared" si="0"/>
        <v>0</v>
      </c>
      <c r="Q34" s="43"/>
    </row>
    <row r="35" spans="1:17" x14ac:dyDescent="0.25">
      <c r="A35" s="24">
        <f t="shared" si="1"/>
        <v>39722</v>
      </c>
      <c r="B35" s="57"/>
      <c r="C35" s="57"/>
      <c r="D35" s="57"/>
      <c r="E35" s="58"/>
      <c r="F35" s="59"/>
      <c r="G35" s="46">
        <f t="shared" si="2"/>
        <v>0</v>
      </c>
      <c r="H35" s="22" t="e">
        <f t="shared" si="3"/>
        <v>#DIV/0!</v>
      </c>
      <c r="I35" s="23">
        <f>'1 - Amortisation'!G6</f>
        <v>249306.89844597693</v>
      </c>
      <c r="J35" s="25">
        <f t="shared" si="4"/>
        <v>140.69955733709503</v>
      </c>
      <c r="K35" s="25">
        <f t="shared" si="5"/>
        <v>249306.89844597693</v>
      </c>
      <c r="M35" s="26" t="e">
        <f t="shared" si="6"/>
        <v>#DIV/0!</v>
      </c>
      <c r="N35" s="1">
        <f t="shared" si="7"/>
        <v>0</v>
      </c>
      <c r="O35" s="44">
        <f t="shared" si="0"/>
        <v>0</v>
      </c>
      <c r="Q35" s="43"/>
    </row>
    <row r="36" spans="1:17" x14ac:dyDescent="0.25">
      <c r="A36" s="24">
        <f t="shared" si="1"/>
        <v>39753</v>
      </c>
      <c r="B36" s="57"/>
      <c r="C36" s="57"/>
      <c r="D36" s="57"/>
      <c r="E36" s="58"/>
      <c r="F36" s="59"/>
      <c r="G36" s="46">
        <f t="shared" si="2"/>
        <v>0</v>
      </c>
      <c r="H36" s="22" t="e">
        <f t="shared" si="3"/>
        <v>#DIV/0!</v>
      </c>
      <c r="I36" s="23">
        <f>'1 - Amortisation'!G7</f>
        <v>249165.14364195979</v>
      </c>
      <c r="J36" s="25">
        <f t="shared" si="4"/>
        <v>141.75480401713867</v>
      </c>
      <c r="K36" s="25">
        <f t="shared" si="5"/>
        <v>249165.14364195979</v>
      </c>
      <c r="M36" s="26" t="e">
        <f t="shared" si="6"/>
        <v>#DIV/0!</v>
      </c>
      <c r="N36" s="1">
        <f t="shared" si="7"/>
        <v>0</v>
      </c>
      <c r="O36" s="44">
        <f t="shared" si="0"/>
        <v>0</v>
      </c>
      <c r="Q36" s="43"/>
    </row>
    <row r="37" spans="1:17" x14ac:dyDescent="0.25">
      <c r="A37" s="24">
        <f t="shared" si="1"/>
        <v>39783</v>
      </c>
      <c r="B37" s="57"/>
      <c r="C37" s="57"/>
      <c r="D37" s="57"/>
      <c r="E37" s="58"/>
      <c r="F37" s="59"/>
      <c r="G37" s="46">
        <f t="shared" si="2"/>
        <v>0</v>
      </c>
      <c r="H37" s="22" t="e">
        <f t="shared" si="3"/>
        <v>#DIV/0!</v>
      </c>
      <c r="I37" s="23">
        <f>'1 - Amortisation'!G8</f>
        <v>249022.32567691253</v>
      </c>
      <c r="J37" s="25">
        <f t="shared" si="4"/>
        <v>142.81796504725935</v>
      </c>
      <c r="K37" s="25">
        <f t="shared" si="5"/>
        <v>249022.32567691253</v>
      </c>
      <c r="M37" s="26" t="e">
        <f t="shared" si="6"/>
        <v>#DIV/0!</v>
      </c>
      <c r="N37" s="1">
        <f t="shared" si="7"/>
        <v>0</v>
      </c>
      <c r="O37" s="44">
        <f t="shared" si="0"/>
        <v>0</v>
      </c>
    </row>
    <row r="38" spans="1:17" x14ac:dyDescent="0.25">
      <c r="A38" s="24">
        <f t="shared" si="1"/>
        <v>39814</v>
      </c>
      <c r="B38" s="57"/>
      <c r="C38" s="57"/>
      <c r="D38" s="57"/>
      <c r="E38" s="58"/>
      <c r="F38" s="59"/>
      <c r="G38" s="46">
        <f t="shared" si="2"/>
        <v>0</v>
      </c>
      <c r="H38" s="22" t="e">
        <f t="shared" si="3"/>
        <v>#DIV/0!</v>
      </c>
      <c r="I38" s="23">
        <f>'1 - Amortisation'!G9</f>
        <v>248878.4365771274</v>
      </c>
      <c r="J38" s="25">
        <f t="shared" si="4"/>
        <v>143.88909978512675</v>
      </c>
      <c r="K38" s="25">
        <f t="shared" si="5"/>
        <v>248878.4365771274</v>
      </c>
      <c r="M38" s="26" t="e">
        <f t="shared" si="6"/>
        <v>#DIV/0!</v>
      </c>
      <c r="N38" s="1">
        <f t="shared" si="7"/>
        <v>0</v>
      </c>
      <c r="O38" s="44">
        <f t="shared" si="0"/>
        <v>0</v>
      </c>
    </row>
    <row r="39" spans="1:17" x14ac:dyDescent="0.25">
      <c r="A39" s="24">
        <f t="shared" si="1"/>
        <v>39845</v>
      </c>
      <c r="B39" s="57"/>
      <c r="C39" s="57"/>
      <c r="D39" s="57"/>
      <c r="E39" s="58"/>
      <c r="F39" s="59"/>
      <c r="G39" s="46">
        <f t="shared" si="2"/>
        <v>0</v>
      </c>
      <c r="H39" s="22" t="e">
        <f t="shared" si="3"/>
        <v>#DIV/0!</v>
      </c>
      <c r="I39" s="23">
        <f>'1 - Amortisation'!G10</f>
        <v>248733.46830909391</v>
      </c>
      <c r="J39" s="25">
        <f t="shared" si="4"/>
        <v>144.96826803349541</v>
      </c>
      <c r="K39" s="25">
        <f t="shared" si="5"/>
        <v>248733.46830909391</v>
      </c>
      <c r="M39" s="26" t="e">
        <f t="shared" si="6"/>
        <v>#DIV/0!</v>
      </c>
      <c r="N39" s="1">
        <f t="shared" si="7"/>
        <v>0</v>
      </c>
      <c r="O39" s="44">
        <f t="shared" si="0"/>
        <v>0</v>
      </c>
    </row>
    <row r="40" spans="1:17" x14ac:dyDescent="0.25">
      <c r="A40" s="24">
        <f t="shared" si="1"/>
        <v>39873</v>
      </c>
      <c r="B40" s="57"/>
      <c r="C40" s="57"/>
      <c r="D40" s="57"/>
      <c r="E40" s="58"/>
      <c r="F40" s="59"/>
      <c r="G40" s="46">
        <f t="shared" si="2"/>
        <v>0</v>
      </c>
      <c r="H40" s="22" t="e">
        <f t="shared" si="3"/>
        <v>#DIV/0!</v>
      </c>
      <c r="I40" s="23">
        <f>'1 - Amortisation'!G11</f>
        <v>248587.41277905015</v>
      </c>
      <c r="J40" s="25">
        <f t="shared" si="4"/>
        <v>146.05553004375543</v>
      </c>
      <c r="K40" s="25">
        <f t="shared" si="5"/>
        <v>248587.41277905015</v>
      </c>
      <c r="M40" s="26" t="e">
        <f t="shared" si="6"/>
        <v>#DIV/0!</v>
      </c>
      <c r="N40" s="1">
        <f t="shared" si="7"/>
        <v>0</v>
      </c>
      <c r="O40" s="44">
        <f t="shared" si="0"/>
        <v>0</v>
      </c>
    </row>
    <row r="41" spans="1:17" x14ac:dyDescent="0.25">
      <c r="A41" s="24">
        <f t="shared" si="1"/>
        <v>39904</v>
      </c>
      <c r="B41" s="57"/>
      <c r="C41" s="57"/>
      <c r="D41" s="57"/>
      <c r="E41" s="58"/>
      <c r="F41" s="59"/>
      <c r="G41" s="46">
        <f t="shared" si="2"/>
        <v>0</v>
      </c>
      <c r="H41" s="22" t="e">
        <f t="shared" si="3"/>
        <v>#DIV/0!</v>
      </c>
      <c r="I41" s="23">
        <f>'1 - Amortisation'!G12</f>
        <v>248440.26183253108</v>
      </c>
      <c r="J41" s="25">
        <f t="shared" si="4"/>
        <v>147.15094651907566</v>
      </c>
      <c r="K41" s="25">
        <f t="shared" si="5"/>
        <v>248440.26183253108</v>
      </c>
      <c r="M41" s="26" t="e">
        <f t="shared" si="6"/>
        <v>#DIV/0!</v>
      </c>
      <c r="N41" s="1">
        <f t="shared" si="7"/>
        <v>0</v>
      </c>
      <c r="O41" s="44">
        <f t="shared" si="0"/>
        <v>0</v>
      </c>
    </row>
    <row r="42" spans="1:17" x14ac:dyDescent="0.25">
      <c r="A42" s="24">
        <f t="shared" si="1"/>
        <v>39934</v>
      </c>
      <c r="B42" s="57"/>
      <c r="C42" s="57"/>
      <c r="D42" s="57"/>
      <c r="E42" s="58"/>
      <c r="F42" s="59"/>
      <c r="G42" s="46">
        <f t="shared" si="2"/>
        <v>0</v>
      </c>
      <c r="H42" s="22" t="e">
        <f t="shared" si="3"/>
        <v>#DIV/0!</v>
      </c>
      <c r="I42" s="23">
        <f>'1 - Amortisation'!G13</f>
        <v>248292.00725391309</v>
      </c>
      <c r="J42" s="25">
        <f t="shared" si="4"/>
        <v>148.2545786179835</v>
      </c>
      <c r="K42" s="25">
        <f t="shared" si="5"/>
        <v>248292.00725391309</v>
      </c>
      <c r="M42" s="26" t="e">
        <f t="shared" si="6"/>
        <v>#DIV/0!</v>
      </c>
      <c r="N42" s="1">
        <f t="shared" si="7"/>
        <v>0</v>
      </c>
      <c r="O42" s="44">
        <f t="shared" si="0"/>
        <v>0</v>
      </c>
    </row>
    <row r="43" spans="1:17" x14ac:dyDescent="0.25">
      <c r="A43" s="24">
        <f t="shared" si="1"/>
        <v>39965</v>
      </c>
      <c r="B43" s="57"/>
      <c r="C43" s="57"/>
      <c r="D43" s="57"/>
      <c r="E43" s="58"/>
      <c r="F43" s="59"/>
      <c r="G43" s="46">
        <f t="shared" si="2"/>
        <v>0</v>
      </c>
      <c r="H43" s="22" t="e">
        <f t="shared" si="3"/>
        <v>#DIV/0!</v>
      </c>
      <c r="I43" s="23">
        <f>'1 - Amortisation'!G14</f>
        <v>248142.6407659555</v>
      </c>
      <c r="J43" s="25">
        <f t="shared" si="4"/>
        <v>149.36648795759538</v>
      </c>
      <c r="K43" s="25">
        <f t="shared" si="5"/>
        <v>248142.6407659555</v>
      </c>
      <c r="M43" s="26" t="e">
        <f t="shared" si="6"/>
        <v>#DIV/0!</v>
      </c>
      <c r="N43" s="1">
        <f t="shared" si="7"/>
        <v>0</v>
      </c>
      <c r="O43" s="44">
        <f t="shared" si="0"/>
        <v>0</v>
      </c>
    </row>
    <row r="44" spans="1:17" x14ac:dyDescent="0.25">
      <c r="A44" s="24">
        <f t="shared" si="1"/>
        <v>39995</v>
      </c>
      <c r="B44" s="57"/>
      <c r="C44" s="57"/>
      <c r="D44" s="57"/>
      <c r="E44" s="58"/>
      <c r="F44" s="59"/>
      <c r="G44" s="46">
        <f t="shared" si="2"/>
        <v>0</v>
      </c>
      <c r="H44" s="22" t="e">
        <f t="shared" si="3"/>
        <v>#DIV/0!</v>
      </c>
      <c r="I44" s="23">
        <f>'1 - Amortisation'!G15</f>
        <v>247992.15402933821</v>
      </c>
      <c r="J44" s="25">
        <f t="shared" si="4"/>
        <v>150.4867366172839</v>
      </c>
      <c r="K44" s="25">
        <f t="shared" si="5"/>
        <v>247992.15402933821</v>
      </c>
      <c r="M44" s="26" t="e">
        <f t="shared" si="6"/>
        <v>#DIV/0!</v>
      </c>
      <c r="N44" s="1">
        <f t="shared" si="7"/>
        <v>0</v>
      </c>
      <c r="O44" s="44">
        <f t="shared" si="0"/>
        <v>0</v>
      </c>
    </row>
    <row r="45" spans="1:17" x14ac:dyDescent="0.25">
      <c r="A45" s="24">
        <f t="shared" si="1"/>
        <v>40026</v>
      </c>
      <c r="B45" s="57"/>
      <c r="C45" s="57"/>
      <c r="D45" s="57"/>
      <c r="E45" s="58"/>
      <c r="F45" s="59"/>
      <c r="G45" s="46">
        <f t="shared" si="2"/>
        <v>0</v>
      </c>
      <c r="H45" s="22" t="e">
        <f t="shared" si="3"/>
        <v>#DIV/0!</v>
      </c>
      <c r="I45" s="23">
        <f>'1 - Amortisation'!G16</f>
        <v>247840.5386421963</v>
      </c>
      <c r="J45" s="25">
        <f t="shared" si="4"/>
        <v>151.61538714190829</v>
      </c>
      <c r="K45" s="25">
        <f t="shared" si="5"/>
        <v>247840.5386421963</v>
      </c>
      <c r="M45" s="26" t="e">
        <f t="shared" si="6"/>
        <v>#DIV/0!</v>
      </c>
      <c r="N45" s="1">
        <f t="shared" si="7"/>
        <v>0</v>
      </c>
      <c r="O45" s="44">
        <f t="shared" si="0"/>
        <v>0</v>
      </c>
    </row>
    <row r="46" spans="1:17" x14ac:dyDescent="0.25">
      <c r="A46" s="24">
        <f t="shared" si="1"/>
        <v>40057</v>
      </c>
      <c r="B46" s="57"/>
      <c r="C46" s="57"/>
      <c r="D46" s="57"/>
      <c r="E46" s="58"/>
      <c r="F46" s="59"/>
      <c r="G46" s="46">
        <f t="shared" si="2"/>
        <v>0</v>
      </c>
      <c r="H46" s="22" t="e">
        <f t="shared" si="3"/>
        <v>#DIV/0!</v>
      </c>
      <c r="I46" s="23">
        <f>'1 - Amortisation'!G17</f>
        <v>247687.78613965082</v>
      </c>
      <c r="J46" s="25">
        <f t="shared" si="4"/>
        <v>152.75250254548155</v>
      </c>
      <c r="K46" s="25">
        <f t="shared" si="5"/>
        <v>247687.78613965082</v>
      </c>
      <c r="M46" s="26" t="e">
        <f t="shared" si="6"/>
        <v>#DIV/0!</v>
      </c>
      <c r="N46" s="1">
        <f t="shared" si="7"/>
        <v>0</v>
      </c>
      <c r="O46" s="44">
        <f t="shared" si="0"/>
        <v>0</v>
      </c>
    </row>
    <row r="47" spans="1:17" x14ac:dyDescent="0.25">
      <c r="A47" s="24">
        <f t="shared" si="1"/>
        <v>40087</v>
      </c>
      <c r="B47" s="57"/>
      <c r="C47" s="57"/>
      <c r="D47" s="57"/>
      <c r="E47" s="58"/>
      <c r="F47" s="59"/>
      <c r="G47" s="46">
        <f t="shared" si="2"/>
        <v>0</v>
      </c>
      <c r="H47" s="22" t="e">
        <f t="shared" si="3"/>
        <v>#DIV/0!</v>
      </c>
      <c r="I47" s="23">
        <f>'1 - Amortisation'!G18</f>
        <v>247533.88799333625</v>
      </c>
      <c r="J47" s="25">
        <f t="shared" si="4"/>
        <v>153.89814631457557</v>
      </c>
      <c r="K47" s="25">
        <f t="shared" si="5"/>
        <v>247533.88799333625</v>
      </c>
      <c r="M47" s="26" t="e">
        <f t="shared" si="6"/>
        <v>#DIV/0!</v>
      </c>
      <c r="N47" s="32">
        <f t="shared" si="7"/>
        <v>0</v>
      </c>
      <c r="O47" s="44">
        <f t="shared" si="0"/>
        <v>0</v>
      </c>
    </row>
    <row r="48" spans="1:17" x14ac:dyDescent="0.25">
      <c r="A48" s="24">
        <f t="shared" si="1"/>
        <v>40118</v>
      </c>
      <c r="B48" s="57"/>
      <c r="C48" s="57"/>
      <c r="D48" s="57"/>
      <c r="E48" s="58"/>
      <c r="F48" s="59"/>
      <c r="G48" s="46">
        <f t="shared" si="2"/>
        <v>0</v>
      </c>
      <c r="H48" s="22" t="e">
        <f t="shared" si="3"/>
        <v>#DIV/0!</v>
      </c>
      <c r="I48" s="23">
        <f>'1 - Amortisation'!G19</f>
        <v>247378.83561092432</v>
      </c>
      <c r="J48" s="25">
        <f t="shared" si="4"/>
        <v>155.05238241193001</v>
      </c>
      <c r="K48" s="25">
        <f t="shared" si="5"/>
        <v>247378.83561092432</v>
      </c>
      <c r="M48" s="26" t="e">
        <f t="shared" si="6"/>
        <v>#DIV/0!</v>
      </c>
      <c r="N48" s="1">
        <f t="shared" si="7"/>
        <v>0</v>
      </c>
      <c r="O48" s="44">
        <f t="shared" si="0"/>
        <v>0</v>
      </c>
    </row>
    <row r="49" spans="1:15" x14ac:dyDescent="0.25">
      <c r="A49" s="24">
        <f t="shared" si="1"/>
        <v>40148</v>
      </c>
      <c r="B49" s="57"/>
      <c r="C49" s="57"/>
      <c r="D49" s="57"/>
      <c r="E49" s="58"/>
      <c r="F49" s="59"/>
      <c r="G49" s="46">
        <f t="shared" si="2"/>
        <v>0</v>
      </c>
      <c r="H49" s="22" t="e">
        <f t="shared" si="3"/>
        <v>#DIV/0!</v>
      </c>
      <c r="I49" s="23">
        <f>'1 - Amortisation'!G20</f>
        <v>247222.62033564429</v>
      </c>
      <c r="J49" s="25">
        <f t="shared" si="4"/>
        <v>156.21527528003207</v>
      </c>
      <c r="K49" s="25">
        <f t="shared" si="5"/>
        <v>247222.62033564429</v>
      </c>
      <c r="M49" s="26" t="e">
        <f t="shared" si="6"/>
        <v>#DIV/0!</v>
      </c>
      <c r="N49" s="1">
        <f t="shared" si="7"/>
        <v>0</v>
      </c>
      <c r="O49" s="44">
        <f t="shared" si="0"/>
        <v>0</v>
      </c>
    </row>
    <row r="50" spans="1:15" x14ac:dyDescent="0.25">
      <c r="A50" s="24">
        <f t="shared" si="1"/>
        <v>40179</v>
      </c>
      <c r="B50" s="57"/>
      <c r="C50" s="57"/>
      <c r="D50" s="57"/>
      <c r="E50" s="58"/>
      <c r="F50" s="59"/>
      <c r="G50" s="46">
        <f t="shared" si="2"/>
        <v>0</v>
      </c>
      <c r="H50" s="22" t="e">
        <f t="shared" si="3"/>
        <v>#DIV/0!</v>
      </c>
      <c r="I50" s="23">
        <f>'1 - Amortisation'!G21</f>
        <v>247065.23344579965</v>
      </c>
      <c r="J50" s="25">
        <f t="shared" si="4"/>
        <v>157.38688984463806</v>
      </c>
      <c r="K50" s="25">
        <f t="shared" si="5"/>
        <v>247065.23344579965</v>
      </c>
      <c r="M50" s="26" t="e">
        <f t="shared" si="6"/>
        <v>#DIV/0!</v>
      </c>
      <c r="N50" s="1">
        <f t="shared" si="7"/>
        <v>0</v>
      </c>
      <c r="O50" s="44">
        <f t="shared" si="0"/>
        <v>0</v>
      </c>
    </row>
    <row r="51" spans="1:15" x14ac:dyDescent="0.25">
      <c r="A51" s="24">
        <f t="shared" si="1"/>
        <v>40210</v>
      </c>
      <c r="B51" s="57"/>
      <c r="C51" s="57"/>
      <c r="D51" s="57"/>
      <c r="E51" s="58"/>
      <c r="F51" s="59"/>
      <c r="G51" s="46">
        <f t="shared" si="2"/>
        <v>0</v>
      </c>
      <c r="H51" s="22" t="e">
        <f t="shared" si="3"/>
        <v>#DIV/0!</v>
      </c>
      <c r="I51" s="23">
        <f>'1 - Amortisation'!G22</f>
        <v>246906.66615428118</v>
      </c>
      <c r="J51" s="25">
        <f t="shared" si="4"/>
        <v>158.56729151846957</v>
      </c>
      <c r="K51" s="25">
        <f t="shared" si="5"/>
        <v>246906.66615428118</v>
      </c>
      <c r="M51" s="26" t="e">
        <f t="shared" si="6"/>
        <v>#DIV/0!</v>
      </c>
      <c r="N51" s="1">
        <f t="shared" si="7"/>
        <v>0</v>
      </c>
      <c r="O51" s="44">
        <f t="shared" si="0"/>
        <v>0</v>
      </c>
    </row>
    <row r="52" spans="1:15" x14ac:dyDescent="0.25">
      <c r="A52" s="24">
        <f t="shared" si="1"/>
        <v>40238</v>
      </c>
      <c r="B52" s="57"/>
      <c r="C52" s="57"/>
      <c r="D52" s="57"/>
      <c r="E52" s="58"/>
      <c r="F52" s="59"/>
      <c r="G52" s="46">
        <f t="shared" si="2"/>
        <v>0</v>
      </c>
      <c r="H52" s="22" t="e">
        <f t="shared" si="3"/>
        <v>#DIV/0!</v>
      </c>
      <c r="I52" s="23">
        <f>'1 - Amortisation'!G23</f>
        <v>246746.90960807633</v>
      </c>
      <c r="J52" s="25">
        <f t="shared" si="4"/>
        <v>159.75654620485147</v>
      </c>
      <c r="K52" s="25">
        <f t="shared" si="5"/>
        <v>246746.90960807633</v>
      </c>
      <c r="M52" s="26" t="e">
        <f t="shared" si="6"/>
        <v>#DIV/0!</v>
      </c>
      <c r="N52" s="1">
        <f t="shared" si="7"/>
        <v>0</v>
      </c>
      <c r="O52" s="44">
        <f t="shared" si="0"/>
        <v>0</v>
      </c>
    </row>
    <row r="53" spans="1:15" x14ac:dyDescent="0.25">
      <c r="A53" s="24">
        <f t="shared" si="1"/>
        <v>40269</v>
      </c>
      <c r="B53" s="57"/>
      <c r="C53" s="57"/>
      <c r="D53" s="57"/>
      <c r="E53" s="58"/>
      <c r="F53" s="59"/>
      <c r="G53" s="46">
        <f t="shared" si="2"/>
        <v>0</v>
      </c>
      <c r="H53" s="22" t="e">
        <f t="shared" si="3"/>
        <v>#DIV/0!</v>
      </c>
      <c r="I53" s="23">
        <f>'1 - Amortisation'!G24</f>
        <v>246585.95488777495</v>
      </c>
      <c r="J53" s="25">
        <f t="shared" si="4"/>
        <v>160.95472030137898</v>
      </c>
      <c r="K53" s="25">
        <f t="shared" si="5"/>
        <v>246585.95488777495</v>
      </c>
      <c r="M53" s="26" t="e">
        <f t="shared" si="6"/>
        <v>#DIV/0!</v>
      </c>
      <c r="N53" s="1">
        <f t="shared" si="7"/>
        <v>0</v>
      </c>
      <c r="O53" s="44">
        <f t="shared" si="0"/>
        <v>0</v>
      </c>
    </row>
    <row r="54" spans="1:15" x14ac:dyDescent="0.25">
      <c r="A54" s="24">
        <f t="shared" si="1"/>
        <v>40299</v>
      </c>
      <c r="B54" s="57"/>
      <c r="C54" s="57"/>
      <c r="D54" s="57"/>
      <c r="E54" s="58"/>
      <c r="F54" s="59"/>
      <c r="G54" s="46">
        <f t="shared" si="2"/>
        <v>0</v>
      </c>
      <c r="H54" s="22" t="e">
        <f t="shared" si="3"/>
        <v>#DIV/0!</v>
      </c>
      <c r="I54" s="23">
        <f>'1 - Amortisation'!G25</f>
        <v>246423.7930070713</v>
      </c>
      <c r="J54" s="25">
        <f t="shared" si="4"/>
        <v>162.16188070364296</v>
      </c>
      <c r="K54" s="25">
        <f t="shared" si="5"/>
        <v>246423.7930070713</v>
      </c>
      <c r="M54" s="26" t="e">
        <f t="shared" si="6"/>
        <v>#DIV/0!</v>
      </c>
      <c r="N54" s="1">
        <f t="shared" si="7"/>
        <v>0</v>
      </c>
      <c r="O54" s="44">
        <f t="shared" si="0"/>
        <v>0</v>
      </c>
    </row>
    <row r="55" spans="1:15" x14ac:dyDescent="0.25">
      <c r="A55" s="24">
        <f t="shared" si="1"/>
        <v>40330</v>
      </c>
      <c r="B55" s="57"/>
      <c r="C55" s="57"/>
      <c r="D55" s="57"/>
      <c r="E55" s="58"/>
      <c r="F55" s="59"/>
      <c r="G55" s="46">
        <f t="shared" si="2"/>
        <v>0</v>
      </c>
      <c r="H55" s="22" t="e">
        <f t="shared" si="3"/>
        <v>#DIV/0!</v>
      </c>
      <c r="I55" s="23">
        <f>'1 - Amortisation'!G26</f>
        <v>246260.41491226238</v>
      </c>
      <c r="J55" s="25">
        <f t="shared" si="4"/>
        <v>163.37809480892611</v>
      </c>
      <c r="K55" s="25">
        <f t="shared" si="5"/>
        <v>246260.41491226238</v>
      </c>
      <c r="M55" s="26" t="e">
        <f t="shared" si="6"/>
        <v>#DIV/0!</v>
      </c>
      <c r="N55" s="1">
        <f t="shared" si="7"/>
        <v>0</v>
      </c>
      <c r="O55" s="44">
        <f t="shared" si="0"/>
        <v>0</v>
      </c>
    </row>
    <row r="56" spans="1:15" x14ac:dyDescent="0.25">
      <c r="A56" s="24">
        <f t="shared" si="1"/>
        <v>40360</v>
      </c>
      <c r="B56" s="57"/>
      <c r="C56" s="57"/>
      <c r="D56" s="57"/>
      <c r="E56" s="58"/>
      <c r="F56" s="59"/>
      <c r="G56" s="46">
        <f t="shared" si="2"/>
        <v>0</v>
      </c>
      <c r="H56" s="22" t="e">
        <f t="shared" si="3"/>
        <v>#DIV/0!</v>
      </c>
      <c r="I56" s="23">
        <f>'1 - Amortisation'!G27</f>
        <v>246095.81148174239</v>
      </c>
      <c r="J56" s="25">
        <f t="shared" si="4"/>
        <v>164.60343051998643</v>
      </c>
      <c r="K56" s="25">
        <f t="shared" si="5"/>
        <v>246095.81148174239</v>
      </c>
      <c r="M56" s="26" t="e">
        <f t="shared" si="6"/>
        <v>#DIV/0!</v>
      </c>
      <c r="N56" s="1">
        <f>F55-F56</f>
        <v>0</v>
      </c>
      <c r="O56" s="44">
        <f t="shared" si="0"/>
        <v>0</v>
      </c>
    </row>
    <row r="57" spans="1:15" x14ac:dyDescent="0.25">
      <c r="A57" s="24">
        <f t="shared" si="1"/>
        <v>40391</v>
      </c>
      <c r="B57" s="57"/>
      <c r="C57" s="57"/>
      <c r="D57" s="57"/>
      <c r="E57" s="58"/>
      <c r="F57" s="59"/>
      <c r="G57" s="46">
        <f t="shared" si="2"/>
        <v>0</v>
      </c>
      <c r="H57" s="22" t="e">
        <f t="shared" si="3"/>
        <v>#DIV/0!</v>
      </c>
      <c r="I57" s="23">
        <f>'1 - Amortisation'!G28</f>
        <v>245929.97352549349</v>
      </c>
      <c r="J57" s="25">
        <f t="shared" si="4"/>
        <v>165.83795624889899</v>
      </c>
      <c r="K57" s="25">
        <f t="shared" si="5"/>
        <v>245929.97352549349</v>
      </c>
      <c r="M57" s="26" t="e">
        <f t="shared" si="6"/>
        <v>#DIV/0!</v>
      </c>
      <c r="N57" s="1">
        <f t="shared" si="7"/>
        <v>0</v>
      </c>
      <c r="O57" s="44">
        <f t="shared" si="0"/>
        <v>0</v>
      </c>
    </row>
    <row r="58" spans="1:15" x14ac:dyDescent="0.25">
      <c r="A58" s="24">
        <f t="shared" si="1"/>
        <v>40422</v>
      </c>
      <c r="B58" s="57"/>
      <c r="C58" s="57"/>
      <c r="D58" s="57"/>
      <c r="E58" s="58"/>
      <c r="F58" s="59"/>
      <c r="G58" s="46">
        <f t="shared" si="2"/>
        <v>0</v>
      </c>
      <c r="H58" s="22" t="e">
        <f t="shared" si="3"/>
        <v>#DIV/0!</v>
      </c>
      <c r="I58" s="23">
        <f>'1 - Amortisation'!G29</f>
        <v>245762.89178457274</v>
      </c>
      <c r="J58" s="25">
        <f t="shared" si="4"/>
        <v>167.08174092075205</v>
      </c>
      <c r="K58" s="25">
        <f t="shared" si="5"/>
        <v>245762.89178457274</v>
      </c>
      <c r="M58" s="26" t="e">
        <f t="shared" si="6"/>
        <v>#DIV/0!</v>
      </c>
      <c r="N58" s="1">
        <f t="shared" si="7"/>
        <v>0</v>
      </c>
      <c r="O58" s="44">
        <f t="shared" si="0"/>
        <v>0</v>
      </c>
    </row>
    <row r="59" spans="1:15" x14ac:dyDescent="0.25">
      <c r="A59" s="24">
        <f t="shared" si="1"/>
        <v>40452</v>
      </c>
      <c r="B59" s="57"/>
      <c r="C59" s="57"/>
      <c r="D59" s="57"/>
      <c r="E59" s="58"/>
      <c r="F59" s="59"/>
      <c r="G59" s="46">
        <f t="shared" si="2"/>
        <v>0</v>
      </c>
      <c r="H59" s="22" t="e">
        <f t="shared" si="3"/>
        <v>#DIV/0!</v>
      </c>
      <c r="I59" s="23">
        <f>'1 - Amortisation'!G30</f>
        <v>245594.55693059508</v>
      </c>
      <c r="J59" s="25">
        <f t="shared" si="4"/>
        <v>168.33485397766344</v>
      </c>
      <c r="K59" s="25">
        <f t="shared" si="5"/>
        <v>245594.55693059508</v>
      </c>
      <c r="M59" s="26" t="e">
        <f t="shared" si="6"/>
        <v>#DIV/0!</v>
      </c>
      <c r="N59" s="1">
        <f t="shared" si="7"/>
        <v>0</v>
      </c>
      <c r="O59" s="44">
        <f t="shared" si="0"/>
        <v>0</v>
      </c>
    </row>
    <row r="60" spans="1:15" x14ac:dyDescent="0.25">
      <c r="A60" s="24">
        <f t="shared" si="1"/>
        <v>40483</v>
      </c>
      <c r="B60" s="57"/>
      <c r="C60" s="57"/>
      <c r="D60" s="57"/>
      <c r="E60" s="58"/>
      <c r="F60" s="59"/>
      <c r="G60" s="46">
        <f t="shared" si="2"/>
        <v>0</v>
      </c>
      <c r="H60" s="22" t="e">
        <f t="shared" si="3"/>
        <v>#DIV/0!</v>
      </c>
      <c r="I60" s="23">
        <f>'1 - Amortisation'!G31</f>
        <v>245424.95956521257</v>
      </c>
      <c r="J60" s="25">
        <f t="shared" si="4"/>
        <v>169.59736538250581</v>
      </c>
      <c r="K60" s="25">
        <f t="shared" si="5"/>
        <v>245424.95956521257</v>
      </c>
      <c r="M60" s="26" t="e">
        <f t="shared" si="6"/>
        <v>#DIV/0!</v>
      </c>
      <c r="N60" s="1">
        <f t="shared" si="7"/>
        <v>0</v>
      </c>
      <c r="O60" s="44">
        <f t="shared" si="0"/>
        <v>0</v>
      </c>
    </row>
    <row r="61" spans="1:15" x14ac:dyDescent="0.25">
      <c r="A61" s="24">
        <f t="shared" si="1"/>
        <v>40513</v>
      </c>
      <c r="B61" s="57"/>
      <c r="C61" s="57"/>
      <c r="D61" s="57"/>
      <c r="E61" s="58"/>
      <c r="F61" s="59"/>
      <c r="G61" s="46">
        <f t="shared" si="2"/>
        <v>0</v>
      </c>
      <c r="H61" s="22" t="e">
        <f t="shared" si="3"/>
        <v>#DIV/0!</v>
      </c>
      <c r="I61" s="23">
        <f>'1 - Amortisation'!G32</f>
        <v>245254.09021958971</v>
      </c>
      <c r="J61" s="25">
        <f t="shared" si="4"/>
        <v>170.86934562286478</v>
      </c>
      <c r="K61" s="25">
        <f t="shared" si="5"/>
        <v>245254.09021958971</v>
      </c>
      <c r="M61" s="26" t="e">
        <f t="shared" si="6"/>
        <v>#DIV/0!</v>
      </c>
      <c r="N61" s="1">
        <f t="shared" si="7"/>
        <v>0</v>
      </c>
      <c r="O61" s="44">
        <f t="shared" si="0"/>
        <v>0</v>
      </c>
    </row>
    <row r="62" spans="1:15" x14ac:dyDescent="0.25">
      <c r="A62" s="24">
        <f t="shared" si="1"/>
        <v>40544</v>
      </c>
      <c r="B62" s="57"/>
      <c r="C62" s="57"/>
      <c r="D62" s="57"/>
      <c r="E62" s="58"/>
      <c r="F62" s="59"/>
      <c r="G62" s="46">
        <f t="shared" si="2"/>
        <v>0</v>
      </c>
      <c r="H62" s="22" t="e">
        <f t="shared" si="3"/>
        <v>#DIV/0!</v>
      </c>
      <c r="I62" s="23">
        <f>'1 - Amortisation'!G33</f>
        <v>245081.93935387468</v>
      </c>
      <c r="J62" s="25">
        <f t="shared" si="4"/>
        <v>172.15086571502616</v>
      </c>
      <c r="K62" s="25">
        <f t="shared" si="5"/>
        <v>245081.93935387468</v>
      </c>
      <c r="M62" s="26" t="e">
        <f t="shared" si="6"/>
        <v>#DIV/0!</v>
      </c>
      <c r="N62" s="1">
        <f t="shared" si="7"/>
        <v>0</v>
      </c>
      <c r="O62" s="44">
        <f t="shared" si="0"/>
        <v>0</v>
      </c>
    </row>
    <row r="63" spans="1:15" x14ac:dyDescent="0.25">
      <c r="A63" s="24">
        <f t="shared" si="1"/>
        <v>40575</v>
      </c>
      <c r="B63" s="57"/>
      <c r="C63" s="57"/>
      <c r="D63" s="57"/>
      <c r="E63" s="58"/>
      <c r="F63" s="59"/>
      <c r="G63" s="46">
        <f t="shared" si="2"/>
        <v>0</v>
      </c>
      <c r="H63" s="22" t="e">
        <f t="shared" si="3"/>
        <v>#DIV/0!</v>
      </c>
      <c r="I63" s="23">
        <f>'1 - Amortisation'!G34</f>
        <v>244908.49735666678</v>
      </c>
      <c r="J63" s="25">
        <f t="shared" si="4"/>
        <v>173.44199720790493</v>
      </c>
      <c r="K63" s="25">
        <f t="shared" si="5"/>
        <v>244908.49735666678</v>
      </c>
      <c r="M63" s="26" t="e">
        <f t="shared" si="6"/>
        <v>#DIV/0!</v>
      </c>
      <c r="N63" s="1">
        <f t="shared" si="7"/>
        <v>0</v>
      </c>
      <c r="O63" s="44">
        <f t="shared" si="0"/>
        <v>0</v>
      </c>
    </row>
    <row r="64" spans="1:15" x14ac:dyDescent="0.25">
      <c r="A64" s="24">
        <f t="shared" si="1"/>
        <v>40603</v>
      </c>
      <c r="B64" s="57"/>
      <c r="C64" s="57"/>
      <c r="D64" s="57"/>
      <c r="E64" s="58"/>
      <c r="F64" s="59"/>
      <c r="G64" s="46">
        <f t="shared" si="2"/>
        <v>0</v>
      </c>
      <c r="H64" s="22" t="e">
        <f t="shared" si="3"/>
        <v>#DIV/0!</v>
      </c>
      <c r="I64" s="23">
        <f>'1 - Amortisation'!G35</f>
        <v>244733.75454447983</v>
      </c>
      <c r="J64" s="25">
        <f t="shared" si="4"/>
        <v>174.74281218694523</v>
      </c>
      <c r="K64" s="25">
        <f t="shared" si="5"/>
        <v>244733.75454447983</v>
      </c>
      <c r="M64" s="26" t="e">
        <f t="shared" si="6"/>
        <v>#DIV/0!</v>
      </c>
      <c r="N64" s="1">
        <f t="shared" si="7"/>
        <v>0</v>
      </c>
      <c r="O64" s="44">
        <f t="shared" si="0"/>
        <v>0</v>
      </c>
    </row>
    <row r="65" spans="1:15" x14ac:dyDescent="0.25">
      <c r="A65" s="24">
        <f t="shared" si="1"/>
        <v>40634</v>
      </c>
      <c r="B65" s="57"/>
      <c r="C65" s="57"/>
      <c r="D65" s="57"/>
      <c r="E65" s="58"/>
      <c r="F65" s="59"/>
      <c r="G65" s="46">
        <f t="shared" si="2"/>
        <v>0</v>
      </c>
      <c r="H65" s="22" t="e">
        <f t="shared" si="3"/>
        <v>#DIV/0!</v>
      </c>
      <c r="I65" s="23">
        <f>'1 - Amortisation'!G36</f>
        <v>244557.70116120146</v>
      </c>
      <c r="J65" s="25">
        <f t="shared" si="4"/>
        <v>176.05338327836944</v>
      </c>
      <c r="K65" s="25">
        <f t="shared" si="5"/>
        <v>244557.70116120146</v>
      </c>
      <c r="M65" s="26" t="e">
        <f t="shared" si="6"/>
        <v>#DIV/0!</v>
      </c>
      <c r="N65" s="1">
        <f>F64-F65</f>
        <v>0</v>
      </c>
      <c r="O65" s="44">
        <f t="shared" si="0"/>
        <v>0</v>
      </c>
    </row>
    <row r="66" spans="1:15" x14ac:dyDescent="0.25">
      <c r="A66" s="24">
        <f t="shared" si="1"/>
        <v>40664</v>
      </c>
      <c r="B66" s="57"/>
      <c r="C66" s="57"/>
      <c r="D66" s="57"/>
      <c r="E66" s="58"/>
      <c r="F66" s="59"/>
      <c r="G66" s="46">
        <f t="shared" si="2"/>
        <v>0</v>
      </c>
      <c r="H66" s="22" t="e">
        <f t="shared" si="3"/>
        <v>#DIV/0!</v>
      </c>
      <c r="I66" s="23">
        <f>'1 - Amortisation'!G37</f>
        <v>244380.32737754853</v>
      </c>
      <c r="J66" s="25">
        <f t="shared" si="4"/>
        <v>177.37378365293262</v>
      </c>
      <c r="K66" s="25">
        <f t="shared" si="5"/>
        <v>244380.32737754853</v>
      </c>
      <c r="M66" s="26" t="e">
        <f t="shared" si="6"/>
        <v>#DIV/0!</v>
      </c>
      <c r="N66" s="1">
        <f t="shared" si="7"/>
        <v>0</v>
      </c>
      <c r="O66" s="44">
        <f t="shared" si="0"/>
        <v>0</v>
      </c>
    </row>
    <row r="67" spans="1:15" x14ac:dyDescent="0.25">
      <c r="A67" s="24">
        <f t="shared" si="1"/>
        <v>40695</v>
      </c>
      <c r="B67" s="57"/>
      <c r="C67" s="57"/>
      <c r="D67" s="57"/>
      <c r="E67" s="58"/>
      <c r="F67" s="59"/>
      <c r="G67" s="46">
        <f t="shared" si="2"/>
        <v>0</v>
      </c>
      <c r="H67" s="22" t="e">
        <f t="shared" si="3"/>
        <v>#DIV/0!</v>
      </c>
      <c r="I67" s="23">
        <f>'1 - Amortisation'!G38</f>
        <v>244201.62329051818</v>
      </c>
      <c r="J67" s="25">
        <f t="shared" si="4"/>
        <v>178.70408703034627</v>
      </c>
      <c r="K67" s="25">
        <f t="shared" si="5"/>
        <v>244201.62329051818</v>
      </c>
      <c r="M67" s="26" t="e">
        <f t="shared" si="6"/>
        <v>#DIV/0!</v>
      </c>
      <c r="N67" s="1">
        <f t="shared" si="7"/>
        <v>0</v>
      </c>
      <c r="O67" s="44">
        <f t="shared" si="0"/>
        <v>0</v>
      </c>
    </row>
    <row r="68" spans="1:15" x14ac:dyDescent="0.25">
      <c r="A68" s="24">
        <f t="shared" si="1"/>
        <v>40725</v>
      </c>
      <c r="B68" s="57"/>
      <c r="C68" s="57"/>
      <c r="D68" s="57"/>
      <c r="E68" s="58"/>
      <c r="F68" s="59"/>
      <c r="G68" s="46">
        <f t="shared" si="2"/>
        <v>0</v>
      </c>
      <c r="H68" s="22" t="e">
        <f t="shared" si="3"/>
        <v>#DIV/0!</v>
      </c>
      <c r="I68" s="23">
        <f>'1 - Amortisation'!G39</f>
        <v>244021.57892283512</v>
      </c>
      <c r="J68" s="25">
        <f t="shared" si="4"/>
        <v>180.04436768306186</v>
      </c>
      <c r="K68" s="25">
        <f t="shared" si="5"/>
        <v>244021.57892283512</v>
      </c>
      <c r="M68" s="26" t="e">
        <f t="shared" si="6"/>
        <v>#DIV/0!</v>
      </c>
      <c r="N68" s="1">
        <f t="shared" si="7"/>
        <v>0</v>
      </c>
      <c r="O68" s="44">
        <f t="shared" si="0"/>
        <v>0</v>
      </c>
    </row>
    <row r="69" spans="1:15" x14ac:dyDescent="0.25">
      <c r="A69" s="24">
        <f t="shared" si="1"/>
        <v>40756</v>
      </c>
      <c r="B69" s="57"/>
      <c r="C69" s="57"/>
      <c r="D69" s="57"/>
      <c r="E69" s="58"/>
      <c r="F69" s="59"/>
      <c r="G69" s="46">
        <f t="shared" si="2"/>
        <v>0</v>
      </c>
      <c r="H69" s="22" t="e">
        <f t="shared" si="3"/>
        <v>#DIV/0!</v>
      </c>
      <c r="I69" s="23">
        <f>'1 - Amortisation'!G40</f>
        <v>243840.18422239443</v>
      </c>
      <c r="J69" s="25">
        <f t="shared" si="4"/>
        <v>181.39470044069458</v>
      </c>
      <c r="K69" s="25">
        <f t="shared" si="5"/>
        <v>243840.18422239443</v>
      </c>
      <c r="M69" s="26" t="e">
        <f t="shared" si="6"/>
        <v>#DIV/0!</v>
      </c>
      <c r="N69" s="1">
        <f t="shared" si="7"/>
        <v>0</v>
      </c>
      <c r="O69" s="44">
        <f t="shared" si="0"/>
        <v>0</v>
      </c>
    </row>
    <row r="70" spans="1:15" x14ac:dyDescent="0.25">
      <c r="A70" s="24">
        <f t="shared" si="1"/>
        <v>40787</v>
      </c>
      <c r="B70" s="57"/>
      <c r="C70" s="57"/>
      <c r="D70" s="57"/>
      <c r="E70" s="58"/>
      <c r="F70" s="59"/>
      <c r="G70" s="46">
        <f t="shared" si="2"/>
        <v>0</v>
      </c>
      <c r="H70" s="22" t="e">
        <f t="shared" si="3"/>
        <v>#DIV/0!</v>
      </c>
      <c r="I70" s="23">
        <f>'1 - Amortisation'!G41</f>
        <v>243657.42906170042</v>
      </c>
      <c r="J70" s="25">
        <f t="shared" si="4"/>
        <v>182.75516069401056</v>
      </c>
      <c r="K70" s="25">
        <f t="shared" si="5"/>
        <v>243657.42906170042</v>
      </c>
      <c r="M70" s="26" t="e">
        <f t="shared" si="6"/>
        <v>#DIV/0!</v>
      </c>
      <c r="N70" s="1">
        <f t="shared" si="7"/>
        <v>0</v>
      </c>
      <c r="O70" s="44">
        <f t="shared" si="0"/>
        <v>0</v>
      </c>
    </row>
    <row r="71" spans="1:15" x14ac:dyDescent="0.25">
      <c r="A71" s="24">
        <f t="shared" si="1"/>
        <v>40817</v>
      </c>
      <c r="B71" s="57"/>
      <c r="C71" s="57"/>
      <c r="D71" s="57"/>
      <c r="E71" s="58"/>
      <c r="F71" s="59"/>
      <c r="G71" s="46">
        <f t="shared" si="2"/>
        <v>0</v>
      </c>
      <c r="H71" s="22" t="e">
        <f t="shared" si="3"/>
        <v>#DIV/0!</v>
      </c>
      <c r="I71" s="23">
        <f>'1 - Amortisation'!G42</f>
        <v>243473.30323730121</v>
      </c>
      <c r="J71" s="25">
        <f t="shared" si="4"/>
        <v>184.12582439920516</v>
      </c>
      <c r="K71" s="25">
        <f t="shared" si="5"/>
        <v>243473.30323730121</v>
      </c>
      <c r="M71" s="26" t="e">
        <f t="shared" si="6"/>
        <v>#DIV/0!</v>
      </c>
      <c r="N71" s="1">
        <f t="shared" si="7"/>
        <v>0</v>
      </c>
      <c r="O71" s="44">
        <f t="shared" si="0"/>
        <v>0</v>
      </c>
    </row>
    <row r="72" spans="1:15" x14ac:dyDescent="0.25">
      <c r="A72" s="24">
        <f t="shared" si="1"/>
        <v>40848</v>
      </c>
      <c r="B72" s="57"/>
      <c r="C72" s="57"/>
      <c r="D72" s="57"/>
      <c r="E72" s="58"/>
      <c r="F72" s="59"/>
      <c r="G72" s="46">
        <f t="shared" si="2"/>
        <v>0</v>
      </c>
      <c r="H72" s="22" t="e">
        <f t="shared" si="3"/>
        <v>#DIV/0!</v>
      </c>
      <c r="I72" s="23">
        <f>'1 - Amortisation'!G43</f>
        <v>243287.796469219</v>
      </c>
      <c r="J72" s="25">
        <f t="shared" si="4"/>
        <v>185.50676808221033</v>
      </c>
      <c r="K72" s="25">
        <f t="shared" si="5"/>
        <v>243287.796469219</v>
      </c>
      <c r="M72" s="26" t="e">
        <f t="shared" si="6"/>
        <v>#DIV/0!</v>
      </c>
      <c r="N72" s="1">
        <f t="shared" si="7"/>
        <v>0</v>
      </c>
      <c r="O72" s="44">
        <f t="shared" si="0"/>
        <v>0</v>
      </c>
    </row>
    <row r="73" spans="1:15" x14ac:dyDescent="0.25">
      <c r="A73" s="24">
        <f t="shared" si="1"/>
        <v>40878</v>
      </c>
      <c r="B73" s="57"/>
      <c r="C73" s="57"/>
      <c r="D73" s="57"/>
      <c r="E73" s="58"/>
      <c r="F73" s="60"/>
      <c r="G73" s="46">
        <f t="shared" si="2"/>
        <v>0</v>
      </c>
      <c r="H73" s="22" t="e">
        <f t="shared" si="3"/>
        <v>#DIV/0!</v>
      </c>
      <c r="I73" s="23">
        <f>'1 - Amortisation'!G44</f>
        <v>243100.89840037617</v>
      </c>
      <c r="J73" s="25">
        <f t="shared" si="4"/>
        <v>186.89806884282734</v>
      </c>
      <c r="K73" s="25">
        <f t="shared" si="5"/>
        <v>243100.89840037617</v>
      </c>
      <c r="M73" s="26" t="e">
        <f t="shared" si="6"/>
        <v>#DIV/0!</v>
      </c>
      <c r="N73" s="1">
        <f t="shared" si="7"/>
        <v>0</v>
      </c>
      <c r="O73" s="44">
        <f t="shared" si="0"/>
        <v>0</v>
      </c>
    </row>
    <row r="74" spans="1:15" x14ac:dyDescent="0.25">
      <c r="A74" s="24">
        <f t="shared" si="1"/>
        <v>40909</v>
      </c>
      <c r="B74" s="57"/>
      <c r="C74" s="57"/>
      <c r="D74" s="57"/>
      <c r="E74" s="58"/>
      <c r="F74" s="60"/>
      <c r="G74" s="46">
        <f t="shared" si="2"/>
        <v>0</v>
      </c>
      <c r="H74" s="22" t="e">
        <f t="shared" si="3"/>
        <v>#DIV/0!</v>
      </c>
      <c r="I74" s="23">
        <f>'1 - Amortisation'!G45</f>
        <v>242912.59859601705</v>
      </c>
      <c r="J74" s="25">
        <f t="shared" si="4"/>
        <v>188.29980435912148</v>
      </c>
      <c r="K74" s="25">
        <f t="shared" si="5"/>
        <v>242912.59859601705</v>
      </c>
      <c r="M74" s="26" t="e">
        <f t="shared" si="6"/>
        <v>#DIV/0!</v>
      </c>
      <c r="N74" s="1">
        <f t="shared" si="7"/>
        <v>0</v>
      </c>
      <c r="O74" s="44">
        <f t="shared" si="0"/>
        <v>0</v>
      </c>
    </row>
    <row r="75" spans="1:15" x14ac:dyDescent="0.25">
      <c r="A75" s="24">
        <f t="shared" si="1"/>
        <v>40940</v>
      </c>
      <c r="B75" s="57"/>
      <c r="C75" s="57"/>
      <c r="D75" s="57"/>
      <c r="E75" s="58"/>
      <c r="F75" s="60"/>
      <c r="G75" s="46">
        <f t="shared" si="2"/>
        <v>0</v>
      </c>
      <c r="H75" s="22" t="e">
        <f t="shared" si="3"/>
        <v>#DIV/0!</v>
      </c>
      <c r="I75" s="23">
        <f>'1 - Amortisation'!G46</f>
        <v>242722.88654312523</v>
      </c>
      <c r="J75" s="25">
        <f t="shared" si="4"/>
        <v>189.71205289181671</v>
      </c>
      <c r="K75" s="25">
        <f t="shared" si="5"/>
        <v>242722.88654312523</v>
      </c>
      <c r="M75" s="26" t="e">
        <f t="shared" si="6"/>
        <v>#DIV/0!</v>
      </c>
      <c r="N75" s="1">
        <f t="shared" si="7"/>
        <v>0</v>
      </c>
      <c r="O75" s="44">
        <f t="shared" si="0"/>
        <v>0</v>
      </c>
    </row>
    <row r="76" spans="1:15" x14ac:dyDescent="0.25">
      <c r="A76" s="24">
        <f t="shared" si="1"/>
        <v>40969</v>
      </c>
      <c r="B76" s="57"/>
      <c r="C76" s="57"/>
      <c r="D76" s="57"/>
      <c r="E76" s="58"/>
      <c r="F76" s="60"/>
      <c r="G76" s="46">
        <f t="shared" si="2"/>
        <v>0</v>
      </c>
      <c r="H76" s="22" t="e">
        <f t="shared" si="3"/>
        <v>#DIV/0!</v>
      </c>
      <c r="I76" s="23">
        <f>'1 - Amortisation'!G47</f>
        <v>242531.75164983672</v>
      </c>
      <c r="J76" s="25">
        <f t="shared" si="4"/>
        <v>191.13489328851574</v>
      </c>
      <c r="K76" s="25">
        <f t="shared" si="5"/>
        <v>242531.75164983672</v>
      </c>
      <c r="M76" s="26" t="e">
        <f t="shared" si="6"/>
        <v>#DIV/0!</v>
      </c>
      <c r="N76" s="1">
        <f t="shared" si="7"/>
        <v>0</v>
      </c>
      <c r="O76" s="44">
        <f t="shared" si="0"/>
        <v>0</v>
      </c>
    </row>
    <row r="77" spans="1:15" x14ac:dyDescent="0.25">
      <c r="A77" s="24">
        <f t="shared" si="1"/>
        <v>41000</v>
      </c>
      <c r="B77" s="57"/>
      <c r="C77" s="57"/>
      <c r="D77" s="57"/>
      <c r="E77" s="58"/>
      <c r="F77" s="60"/>
      <c r="G77" s="46">
        <f t="shared" si="2"/>
        <v>0</v>
      </c>
      <c r="H77" s="22" t="e">
        <f t="shared" si="3"/>
        <v>#DIV/0!</v>
      </c>
      <c r="I77" s="23">
        <f>'1 - Amortisation'!G48</f>
        <v>242339.18324484854</v>
      </c>
      <c r="J77" s="25">
        <f t="shared" si="4"/>
        <v>192.56840498818201</v>
      </c>
      <c r="K77" s="25">
        <f t="shared" si="5"/>
        <v>242339.18324484854</v>
      </c>
      <c r="M77" s="26" t="e">
        <f t="shared" si="6"/>
        <v>#DIV/0!</v>
      </c>
      <c r="N77" s="32">
        <f>F76-F77</f>
        <v>0</v>
      </c>
      <c r="O77" s="44">
        <f t="shared" si="0"/>
        <v>0</v>
      </c>
    </row>
    <row r="78" spans="1:15" x14ac:dyDescent="0.25">
      <c r="A78" s="24">
        <f t="shared" si="1"/>
        <v>41030</v>
      </c>
      <c r="B78" s="57"/>
      <c r="C78" s="57"/>
      <c r="D78" s="57"/>
      <c r="E78" s="58"/>
      <c r="F78" s="60"/>
      <c r="G78" s="46">
        <f t="shared" si="2"/>
        <v>0</v>
      </c>
      <c r="H78" s="22" t="e">
        <f t="shared" si="3"/>
        <v>#DIV/0!</v>
      </c>
      <c r="I78" s="23">
        <f>'1 - Amortisation'!G49</f>
        <v>242145.17057682294</v>
      </c>
      <c r="J78" s="25">
        <f t="shared" si="4"/>
        <v>194.01266802559257</v>
      </c>
      <c r="K78" s="25">
        <f t="shared" si="5"/>
        <v>242145.17057682294</v>
      </c>
      <c r="M78" s="26" t="e">
        <f t="shared" si="6"/>
        <v>#DIV/0!</v>
      </c>
      <c r="N78" s="1">
        <f t="shared" si="7"/>
        <v>0</v>
      </c>
      <c r="O78" s="44">
        <f t="shared" si="0"/>
        <v>0</v>
      </c>
    </row>
    <row r="79" spans="1:15" x14ac:dyDescent="0.25">
      <c r="A79" s="24">
        <f t="shared" si="1"/>
        <v>41061</v>
      </c>
      <c r="B79" s="57"/>
      <c r="C79" s="57"/>
      <c r="D79" s="57"/>
      <c r="E79" s="58"/>
      <c r="F79" s="60"/>
      <c r="G79" s="46">
        <f t="shared" si="2"/>
        <v>0</v>
      </c>
      <c r="H79" s="22" t="e">
        <f t="shared" si="3"/>
        <v>#DIV/0!</v>
      </c>
      <c r="I79" s="23">
        <f>'1 - Amortisation'!G50</f>
        <v>241949.70281378715</v>
      </c>
      <c r="J79" s="25">
        <f t="shared" si="4"/>
        <v>195.46776303579099</v>
      </c>
      <c r="K79" s="25">
        <f t="shared" si="5"/>
        <v>241949.70281378715</v>
      </c>
      <c r="M79" s="26" t="e">
        <f t="shared" si="6"/>
        <v>#DIV/0!</v>
      </c>
      <c r="N79" s="1">
        <f t="shared" si="7"/>
        <v>0</v>
      </c>
      <c r="O79" s="44">
        <f t="shared" si="0"/>
        <v>0</v>
      </c>
    </row>
    <row r="80" spans="1:15" x14ac:dyDescent="0.25">
      <c r="A80" s="24">
        <f t="shared" si="1"/>
        <v>41091</v>
      </c>
      <c r="B80" s="57"/>
      <c r="C80" s="57"/>
      <c r="D80" s="57"/>
      <c r="E80" s="58"/>
      <c r="F80" s="60"/>
      <c r="G80" s="46">
        <f t="shared" si="2"/>
        <v>0</v>
      </c>
      <c r="H80" s="22" t="e">
        <f t="shared" si="3"/>
        <v>#DIV/0!</v>
      </c>
      <c r="I80" s="23">
        <f>'1 - Amortisation'!G51</f>
        <v>241752.76904252861</v>
      </c>
      <c r="J80" s="25">
        <f t="shared" si="4"/>
        <v>196.93377125854022</v>
      </c>
      <c r="K80" s="25">
        <f t="shared" si="5"/>
        <v>241752.76904252861</v>
      </c>
      <c r="M80" s="26" t="e">
        <f t="shared" si="6"/>
        <v>#DIV/0!</v>
      </c>
      <c r="N80" s="1">
        <f t="shared" si="7"/>
        <v>0</v>
      </c>
      <c r="O80" s="44">
        <f t="shared" si="0"/>
        <v>0</v>
      </c>
    </row>
    <row r="81" spans="1:15" x14ac:dyDescent="0.25">
      <c r="A81" s="24">
        <f t="shared" si="1"/>
        <v>41122</v>
      </c>
      <c r="B81" s="57"/>
      <c r="C81" s="57"/>
      <c r="D81" s="57"/>
      <c r="E81" s="58"/>
      <c r="F81" s="60"/>
      <c r="G81" s="46">
        <f t="shared" si="2"/>
        <v>0</v>
      </c>
      <c r="H81" s="22" t="e">
        <f t="shared" si="3"/>
        <v>#DIV/0!</v>
      </c>
      <c r="I81" s="23">
        <f>'1 - Amortisation'!G52</f>
        <v>241554.35826798563</v>
      </c>
      <c r="J81" s="25">
        <f t="shared" si="4"/>
        <v>198.4107745429792</v>
      </c>
      <c r="K81" s="25">
        <f t="shared" si="5"/>
        <v>241554.35826798563</v>
      </c>
      <c r="M81" s="26" t="e">
        <f t="shared" si="6"/>
        <v>#DIV/0!</v>
      </c>
      <c r="N81" s="1">
        <f t="shared" si="7"/>
        <v>0</v>
      </c>
      <c r="O81" s="44">
        <f t="shared" si="0"/>
        <v>0</v>
      </c>
    </row>
    <row r="82" spans="1:15" x14ac:dyDescent="0.25">
      <c r="A82" s="24">
        <f t="shared" si="1"/>
        <v>41153</v>
      </c>
      <c r="B82" s="57"/>
      <c r="C82" s="57"/>
      <c r="D82" s="57"/>
      <c r="E82" s="58"/>
      <c r="F82" s="60"/>
      <c r="G82" s="46">
        <f t="shared" si="2"/>
        <v>0</v>
      </c>
      <c r="H82" s="22" t="e">
        <f t="shared" si="3"/>
        <v>#DIV/0!</v>
      </c>
      <c r="I82" s="23">
        <f>'1 - Amortisation'!G53</f>
        <v>241354.45941263356</v>
      </c>
      <c r="J82" s="25">
        <f t="shared" si="4"/>
        <v>199.89885535207577</v>
      </c>
      <c r="K82" s="25">
        <f t="shared" si="5"/>
        <v>241354.45941263356</v>
      </c>
      <c r="M82" s="26" t="e">
        <f t="shared" si="6"/>
        <v>#DIV/0!</v>
      </c>
      <c r="N82" s="1">
        <f t="shared" si="7"/>
        <v>0</v>
      </c>
      <c r="O82" s="44">
        <f t="shared" si="0"/>
        <v>0</v>
      </c>
    </row>
    <row r="83" spans="1:15" x14ac:dyDescent="0.25">
      <c r="A83" s="24">
        <f t="shared" si="1"/>
        <v>41183</v>
      </c>
      <c r="B83" s="57"/>
      <c r="C83" s="57"/>
      <c r="D83" s="57"/>
      <c r="E83" s="58"/>
      <c r="F83" s="60"/>
      <c r="G83" s="46">
        <f t="shared" si="2"/>
        <v>0</v>
      </c>
      <c r="H83" s="22" t="e">
        <f t="shared" si="3"/>
        <v>#DIV/0!</v>
      </c>
      <c r="I83" s="23">
        <f>'1 - Amortisation'!G54</f>
        <v>241153.06131586636</v>
      </c>
      <c r="J83" s="25">
        <f t="shared" si="4"/>
        <v>201.39809676719597</v>
      </c>
      <c r="K83" s="25">
        <f t="shared" si="5"/>
        <v>241153.06131586636</v>
      </c>
      <c r="M83" s="26" t="e">
        <f t="shared" si="6"/>
        <v>#DIV/0!</v>
      </c>
      <c r="N83" s="32">
        <f t="shared" si="7"/>
        <v>0</v>
      </c>
      <c r="O83" s="44">
        <f t="shared" si="0"/>
        <v>0</v>
      </c>
    </row>
    <row r="84" spans="1:15" x14ac:dyDescent="0.25">
      <c r="A84" s="24">
        <f t="shared" si="1"/>
        <v>41214</v>
      </c>
      <c r="B84" s="57"/>
      <c r="C84" s="57"/>
      <c r="D84" s="57"/>
      <c r="E84" s="58"/>
      <c r="F84" s="60"/>
      <c r="G84" s="46">
        <f t="shared" si="2"/>
        <v>0</v>
      </c>
      <c r="H84" s="22" t="e">
        <f t="shared" si="3"/>
        <v>#DIV/0!</v>
      </c>
      <c r="I84" s="23">
        <f>'1 - Amortisation'!G55</f>
        <v>240950.1527333734</v>
      </c>
      <c r="J84" s="25">
        <f t="shared" si="4"/>
        <v>202.90858249296434</v>
      </c>
      <c r="K84" s="25">
        <f t="shared" si="5"/>
        <v>240950.1527333734</v>
      </c>
      <c r="M84" s="26" t="e">
        <f t="shared" si="6"/>
        <v>#DIV/0!</v>
      </c>
      <c r="N84" s="1">
        <f t="shared" si="7"/>
        <v>0</v>
      </c>
      <c r="O84" s="44">
        <f t="shared" si="0"/>
        <v>0</v>
      </c>
    </row>
    <row r="85" spans="1:15" x14ac:dyDescent="0.25">
      <c r="A85" s="24">
        <f t="shared" si="1"/>
        <v>41244</v>
      </c>
      <c r="B85" s="57"/>
      <c r="C85" s="57"/>
      <c r="D85" s="57"/>
      <c r="E85" s="58"/>
      <c r="F85" s="60"/>
      <c r="G85" s="46">
        <f t="shared" si="2"/>
        <v>0</v>
      </c>
      <c r="H85" s="22" t="e">
        <f t="shared" si="3"/>
        <v>#DIV/0!</v>
      </c>
      <c r="I85" s="23">
        <f>'1 - Amortisation'!G56</f>
        <v>240745.72233651174</v>
      </c>
      <c r="J85" s="25">
        <f t="shared" si="4"/>
        <v>204.43039686165866</v>
      </c>
      <c r="K85" s="25">
        <f t="shared" si="5"/>
        <v>240745.72233651174</v>
      </c>
      <c r="M85" s="26" t="e">
        <f t="shared" si="6"/>
        <v>#DIV/0!</v>
      </c>
      <c r="N85" s="1">
        <f t="shared" si="7"/>
        <v>0</v>
      </c>
      <c r="O85" s="44">
        <f t="shared" si="0"/>
        <v>0</v>
      </c>
    </row>
    <row r="86" spans="1:15" x14ac:dyDescent="0.25">
      <c r="A86" s="24">
        <f t="shared" si="1"/>
        <v>41275</v>
      </c>
      <c r="B86" s="57"/>
      <c r="C86" s="57"/>
      <c r="D86" s="57"/>
      <c r="E86" s="58"/>
      <c r="F86" s="60"/>
      <c r="G86" s="46">
        <f t="shared" si="2"/>
        <v>0</v>
      </c>
      <c r="H86" s="22" t="e">
        <f t="shared" si="3"/>
        <v>#DIV/0!</v>
      </c>
      <c r="I86" s="23">
        <f>'1 - Amortisation'!G57</f>
        <v>240539.75871167361</v>
      </c>
      <c r="J86" s="25">
        <f t="shared" si="4"/>
        <v>205.96362483812845</v>
      </c>
      <c r="K86" s="25">
        <f t="shared" si="5"/>
        <v>240539.75871167361</v>
      </c>
      <c r="M86" s="26" t="e">
        <f t="shared" si="6"/>
        <v>#DIV/0!</v>
      </c>
      <c r="N86" s="1">
        <f>IF(F86&gt;0,F85-F86,0)</f>
        <v>0</v>
      </c>
      <c r="O86" s="44">
        <f t="shared" si="0"/>
        <v>0</v>
      </c>
    </row>
    <row r="87" spans="1:15" x14ac:dyDescent="0.25">
      <c r="A87" s="24">
        <f t="shared" si="1"/>
        <v>41306</v>
      </c>
      <c r="B87" s="57"/>
      <c r="C87" s="57"/>
      <c r="D87" s="57"/>
      <c r="E87" s="58"/>
      <c r="F87" s="60"/>
      <c r="G87" s="46">
        <f t="shared" si="2"/>
        <v>0</v>
      </c>
      <c r="H87" s="22" t="e">
        <f t="shared" si="3"/>
        <v>#DIV/0!</v>
      </c>
      <c r="I87" s="23">
        <f>'1 - Amortisation'!G58</f>
        <v>240332.25035964922</v>
      </c>
      <c r="J87" s="25">
        <f t="shared" si="4"/>
        <v>207.50835202439339</v>
      </c>
      <c r="K87" s="25">
        <f t="shared" si="5"/>
        <v>240332.25035964922</v>
      </c>
      <c r="M87" s="26" t="e">
        <f t="shared" si="6"/>
        <v>#DIV/0!</v>
      </c>
      <c r="N87" s="1">
        <f>IF(F87&gt;0,F86-F87,0)</f>
        <v>0</v>
      </c>
      <c r="O87" s="44">
        <f t="shared" si="0"/>
        <v>0</v>
      </c>
    </row>
    <row r="88" spans="1:15" x14ac:dyDescent="0.25">
      <c r="A88" s="24">
        <f t="shared" si="1"/>
        <v>41334</v>
      </c>
      <c r="B88" s="57"/>
      <c r="C88" s="57"/>
      <c r="D88" s="57"/>
      <c r="E88" s="58"/>
      <c r="F88" s="60"/>
      <c r="G88" s="46">
        <f t="shared" si="2"/>
        <v>0</v>
      </c>
      <c r="H88" s="22" t="e">
        <f t="shared" si="3"/>
        <v>#DIV/0!</v>
      </c>
      <c r="I88" s="23">
        <f>'1 - Amortisation'!G59</f>
        <v>240123.18569498463</v>
      </c>
      <c r="J88" s="25">
        <f t="shared" si="4"/>
        <v>209.06466466459096</v>
      </c>
      <c r="K88" s="25">
        <f t="shared" si="5"/>
        <v>240123.18569498463</v>
      </c>
      <c r="M88" s="26" t="e">
        <f t="shared" si="6"/>
        <v>#DIV/0!</v>
      </c>
      <c r="N88" s="32">
        <f t="shared" ref="N88:N151" si="8">IF(F88&gt;0,F87-F88,0)</f>
        <v>0</v>
      </c>
      <c r="O88" s="44">
        <f t="shared" si="0"/>
        <v>0</v>
      </c>
    </row>
    <row r="89" spans="1:15" x14ac:dyDescent="0.25">
      <c r="A89" s="24">
        <f t="shared" si="1"/>
        <v>41365</v>
      </c>
      <c r="B89" s="57"/>
      <c r="C89" s="57"/>
      <c r="D89" s="57"/>
      <c r="E89" s="58"/>
      <c r="F89" s="60"/>
      <c r="G89" s="46">
        <f t="shared" si="2"/>
        <v>0</v>
      </c>
      <c r="H89" s="22" t="e">
        <f t="shared" si="3"/>
        <v>#DIV/0!</v>
      </c>
      <c r="I89" s="23">
        <f>'1 - Amortisation'!G60</f>
        <v>239912.55304533505</v>
      </c>
      <c r="J89" s="25">
        <f t="shared" si="4"/>
        <v>210.63264964957489</v>
      </c>
      <c r="K89" s="25">
        <f t="shared" si="5"/>
        <v>239912.55304533505</v>
      </c>
      <c r="M89" s="26" t="e">
        <f t="shared" si="6"/>
        <v>#DIV/0!</v>
      </c>
      <c r="N89" s="32">
        <f t="shared" si="8"/>
        <v>0</v>
      </c>
      <c r="O89" s="44">
        <f t="shared" si="0"/>
        <v>0</v>
      </c>
    </row>
    <row r="90" spans="1:15" x14ac:dyDescent="0.25">
      <c r="A90" s="24">
        <f t="shared" si="1"/>
        <v>41395</v>
      </c>
      <c r="B90" s="57"/>
      <c r="C90" s="57"/>
      <c r="D90" s="57"/>
      <c r="E90" s="58"/>
      <c r="F90" s="60"/>
      <c r="G90" s="46">
        <f t="shared" si="2"/>
        <v>0</v>
      </c>
      <c r="H90" s="22" t="e">
        <f t="shared" si="3"/>
        <v>#DIV/0!</v>
      </c>
      <c r="I90" s="23">
        <f>'1 - Amortisation'!G61</f>
        <v>239700.3406508131</v>
      </c>
      <c r="J90" s="25">
        <f t="shared" si="4"/>
        <v>212.21239452195005</v>
      </c>
      <c r="K90" s="25">
        <f t="shared" si="5"/>
        <v>239700.3406508131</v>
      </c>
      <c r="M90" s="26" t="e">
        <f t="shared" si="6"/>
        <v>#DIV/0!</v>
      </c>
      <c r="N90" s="1">
        <f t="shared" si="8"/>
        <v>0</v>
      </c>
      <c r="O90" s="44">
        <f t="shared" si="0"/>
        <v>0</v>
      </c>
    </row>
    <row r="91" spans="1:15" x14ac:dyDescent="0.25">
      <c r="A91" s="24">
        <f t="shared" si="1"/>
        <v>41426</v>
      </c>
      <c r="B91" s="57"/>
      <c r="C91" s="57"/>
      <c r="D91" s="57"/>
      <c r="E91" s="58"/>
      <c r="F91" s="60"/>
      <c r="G91" s="46">
        <f t="shared" si="2"/>
        <v>0</v>
      </c>
      <c r="H91" s="22" t="e">
        <f t="shared" si="3"/>
        <v>#DIV/0!</v>
      </c>
      <c r="I91" s="23">
        <f>'1 - Amortisation'!G62</f>
        <v>239486.53666333226</v>
      </c>
      <c r="J91" s="25">
        <f t="shared" si="4"/>
        <v>213.80398748084554</v>
      </c>
      <c r="K91" s="25">
        <f t="shared" si="5"/>
        <v>239486.53666333226</v>
      </c>
      <c r="M91" s="26" t="e">
        <f t="shared" si="6"/>
        <v>#DIV/0!</v>
      </c>
      <c r="N91" s="1">
        <f t="shared" si="8"/>
        <v>0</v>
      </c>
      <c r="O91" s="44">
        <f t="shared" si="0"/>
        <v>0</v>
      </c>
    </row>
    <row r="92" spans="1:15" x14ac:dyDescent="0.25">
      <c r="A92" s="24">
        <f t="shared" si="1"/>
        <v>41456</v>
      </c>
      <c r="B92" s="57"/>
      <c r="C92" s="57"/>
      <c r="D92" s="57"/>
      <c r="E92" s="58"/>
      <c r="F92" s="60"/>
      <c r="G92" s="46">
        <f t="shared" si="2"/>
        <v>0</v>
      </c>
      <c r="H92" s="22" t="e">
        <f t="shared" si="3"/>
        <v>#DIV/0!</v>
      </c>
      <c r="I92" s="23">
        <f>'1 - Amortisation'!G63</f>
        <v>239271.12914594528</v>
      </c>
      <c r="J92" s="25">
        <f t="shared" si="4"/>
        <v>215.40751738697872</v>
      </c>
      <c r="K92" s="25">
        <f t="shared" si="5"/>
        <v>239271.12914594528</v>
      </c>
      <c r="M92" s="26" t="e">
        <f t="shared" si="6"/>
        <v>#DIV/0!</v>
      </c>
      <c r="N92" s="1">
        <f t="shared" si="8"/>
        <v>0</v>
      </c>
      <c r="O92" s="44">
        <f t="shared" si="0"/>
        <v>0</v>
      </c>
    </row>
    <row r="93" spans="1:15" x14ac:dyDescent="0.25">
      <c r="A93" s="24">
        <f t="shared" si="1"/>
        <v>41487</v>
      </c>
      <c r="B93" s="57"/>
      <c r="C93" s="57"/>
      <c r="D93" s="57"/>
      <c r="E93" s="58"/>
      <c r="F93" s="60"/>
      <c r="G93" s="46">
        <f t="shared" si="2"/>
        <v>0</v>
      </c>
      <c r="H93" s="22" t="e">
        <f t="shared" si="3"/>
        <v>#DIV/0!</v>
      </c>
      <c r="I93" s="23">
        <f>'1 - Amortisation'!G64</f>
        <v>239054.10607217791</v>
      </c>
      <c r="J93" s="25">
        <f t="shared" si="4"/>
        <v>217.02307376737008</v>
      </c>
      <c r="K93" s="25">
        <f t="shared" si="5"/>
        <v>239054.10607217791</v>
      </c>
      <c r="M93" s="26" t="e">
        <f t="shared" si="6"/>
        <v>#DIV/0!</v>
      </c>
      <c r="N93" s="1">
        <f t="shared" si="8"/>
        <v>0</v>
      </c>
      <c r="O93" s="44">
        <f t="shared" si="0"/>
        <v>0</v>
      </c>
    </row>
    <row r="94" spans="1:15" x14ac:dyDescent="0.25">
      <c r="A94" s="24">
        <f t="shared" si="1"/>
        <v>41518</v>
      </c>
      <c r="B94" s="57"/>
      <c r="C94" s="57"/>
      <c r="D94" s="57"/>
      <c r="E94" s="58"/>
      <c r="F94" s="60"/>
      <c r="G94" s="46">
        <f t="shared" si="2"/>
        <v>0</v>
      </c>
      <c r="H94" s="22" t="e">
        <f t="shared" si="3"/>
        <v>#DIV/0!</v>
      </c>
      <c r="I94" s="23">
        <f>'1 - Amortisation'!G65</f>
        <v>238835.4553253573</v>
      </c>
      <c r="J94" s="25">
        <f t="shared" si="4"/>
        <v>218.65074682061095</v>
      </c>
      <c r="K94" s="25">
        <f t="shared" si="5"/>
        <v>238835.4553253573</v>
      </c>
      <c r="M94" s="26" t="e">
        <f t="shared" si="6"/>
        <v>#DIV/0!</v>
      </c>
      <c r="N94" s="1">
        <f t="shared" si="8"/>
        <v>0</v>
      </c>
      <c r="O94" s="44">
        <f t="shared" si="0"/>
        <v>0</v>
      </c>
    </row>
    <row r="95" spans="1:15" x14ac:dyDescent="0.25">
      <c r="A95" s="24">
        <f t="shared" si="1"/>
        <v>41548</v>
      </c>
      <c r="B95" s="57"/>
      <c r="C95" s="57"/>
      <c r="D95" s="57"/>
      <c r="E95" s="58"/>
      <c r="F95" s="60"/>
      <c r="G95" s="46">
        <f t="shared" si="2"/>
        <v>0</v>
      </c>
      <c r="H95" s="22" t="e">
        <f t="shared" si="3"/>
        <v>#DIV/0!</v>
      </c>
      <c r="I95" s="23">
        <f>'1 - Amortisation'!G66</f>
        <v>238615.16469793551</v>
      </c>
      <c r="J95" s="25">
        <f t="shared" si="4"/>
        <v>220.29062742178212</v>
      </c>
      <c r="K95" s="25">
        <f t="shared" si="5"/>
        <v>238615.16469793551</v>
      </c>
      <c r="M95" s="26" t="e">
        <f t="shared" si="6"/>
        <v>#DIV/0!</v>
      </c>
      <c r="N95" s="1">
        <f t="shared" si="8"/>
        <v>0</v>
      </c>
      <c r="O95" s="44">
        <f t="shared" si="0"/>
        <v>0</v>
      </c>
    </row>
    <row r="96" spans="1:15" x14ac:dyDescent="0.25">
      <c r="A96" s="24">
        <f t="shared" si="1"/>
        <v>41579</v>
      </c>
      <c r="B96" s="57"/>
      <c r="C96" s="57"/>
      <c r="D96" s="57"/>
      <c r="E96" s="58"/>
      <c r="F96" s="60"/>
      <c r="G96" s="46">
        <f t="shared" si="2"/>
        <v>0</v>
      </c>
      <c r="H96" s="22" t="e">
        <f t="shared" si="3"/>
        <v>#DIV/0!</v>
      </c>
      <c r="I96" s="23">
        <f>'1 - Amortisation'!G67</f>
        <v>238393.22189080808</v>
      </c>
      <c r="J96" s="25">
        <f t="shared" si="4"/>
        <v>221.94280712743057</v>
      </c>
      <c r="K96" s="25">
        <f t="shared" si="5"/>
        <v>238393.22189080808</v>
      </c>
      <c r="M96" s="26" t="e">
        <f t="shared" si="6"/>
        <v>#DIV/0!</v>
      </c>
      <c r="N96" s="1">
        <f t="shared" si="8"/>
        <v>0</v>
      </c>
      <c r="O96" s="44">
        <f t="shared" ref="O96:O101" si="9">F96+G96</f>
        <v>0</v>
      </c>
    </row>
    <row r="97" spans="1:15" x14ac:dyDescent="0.25">
      <c r="A97" s="24">
        <f t="shared" ref="A97:A160" si="10">EDATE(A96,1)</f>
        <v>41609</v>
      </c>
      <c r="B97" s="57"/>
      <c r="C97" s="57"/>
      <c r="D97" s="57"/>
      <c r="E97" s="58"/>
      <c r="F97" s="60"/>
      <c r="G97" s="46">
        <f t="shared" ref="G97:G160" si="11">G96+C97</f>
        <v>0</v>
      </c>
      <c r="H97" s="22" t="e">
        <f t="shared" ref="H97:H160" si="12">F97/$F$31</f>
        <v>#DIV/0!</v>
      </c>
      <c r="I97" s="23">
        <f>'1 - Amortisation'!G68</f>
        <v>238169.61451262719</v>
      </c>
      <c r="J97" s="25">
        <f t="shared" ref="J97:J160" si="13">I96-I97</f>
        <v>223.60737818089547</v>
      </c>
      <c r="K97" s="25">
        <f t="shared" si="5"/>
        <v>238169.61451262719</v>
      </c>
      <c r="M97" s="26" t="e">
        <f t="shared" ref="M97:M160" si="14">B97/D97</f>
        <v>#DIV/0!</v>
      </c>
      <c r="N97" s="1">
        <f t="shared" si="8"/>
        <v>0</v>
      </c>
      <c r="O97" s="44">
        <f t="shared" si="9"/>
        <v>0</v>
      </c>
    </row>
    <row r="98" spans="1:15" x14ac:dyDescent="0.25">
      <c r="A98" s="24">
        <f t="shared" si="10"/>
        <v>41640</v>
      </c>
      <c r="B98" s="57"/>
      <c r="C98" s="57"/>
      <c r="D98" s="57"/>
      <c r="E98" s="58"/>
      <c r="F98" s="60"/>
      <c r="G98" s="46">
        <f t="shared" si="11"/>
        <v>0</v>
      </c>
      <c r="H98" s="22" t="e">
        <f t="shared" si="12"/>
        <v>#DIV/0!</v>
      </c>
      <c r="I98" s="23">
        <f>'1 - Amortisation'!G69</f>
        <v>237944.33007910993</v>
      </c>
      <c r="J98" s="25">
        <f t="shared" si="13"/>
        <v>225.28443351725582</v>
      </c>
      <c r="K98" s="25">
        <f t="shared" si="5"/>
        <v>237944.33007910993</v>
      </c>
      <c r="M98" s="26" t="e">
        <f t="shared" si="14"/>
        <v>#DIV/0!</v>
      </c>
      <c r="N98" s="1">
        <f t="shared" si="8"/>
        <v>0</v>
      </c>
      <c r="O98" s="44">
        <f>F98+G98</f>
        <v>0</v>
      </c>
    </row>
    <row r="99" spans="1:15" x14ac:dyDescent="0.25">
      <c r="A99" s="24">
        <f t="shared" si="10"/>
        <v>41671</v>
      </c>
      <c r="B99" s="57"/>
      <c r="C99" s="57"/>
      <c r="D99" s="57"/>
      <c r="E99" s="58"/>
      <c r="F99" s="60"/>
      <c r="G99" s="46">
        <f t="shared" si="11"/>
        <v>0</v>
      </c>
      <c r="H99" s="22" t="e">
        <f t="shared" si="12"/>
        <v>#DIV/0!</v>
      </c>
      <c r="I99" s="23">
        <f>'1 - Amortisation'!G70</f>
        <v>237717.3560123413</v>
      </c>
      <c r="J99" s="25">
        <f t="shared" si="13"/>
        <v>226.97406676862738</v>
      </c>
      <c r="K99" s="25">
        <f t="shared" si="5"/>
        <v>237717.3560123413</v>
      </c>
      <c r="M99" s="26" t="e">
        <f t="shared" si="14"/>
        <v>#DIV/0!</v>
      </c>
      <c r="N99" s="1">
        <f t="shared" si="8"/>
        <v>0</v>
      </c>
      <c r="O99" s="44">
        <f t="shared" ref="O99:O162" si="15">F99+G99</f>
        <v>0</v>
      </c>
    </row>
    <row r="100" spans="1:15" x14ac:dyDescent="0.25">
      <c r="A100" s="24">
        <f t="shared" si="10"/>
        <v>41699</v>
      </c>
      <c r="B100" s="57"/>
      <c r="C100" s="57"/>
      <c r="D100" s="57"/>
      <c r="E100" s="58"/>
      <c r="F100" s="60"/>
      <c r="G100" s="46">
        <f t="shared" si="11"/>
        <v>0</v>
      </c>
      <c r="H100" s="22" t="e">
        <f t="shared" si="12"/>
        <v>#DIV/0!</v>
      </c>
      <c r="I100" s="23">
        <f>'1 - Amortisation'!G71</f>
        <v>237488.6796400719</v>
      </c>
      <c r="J100" s="25">
        <f t="shared" si="13"/>
        <v>228.67637226940133</v>
      </c>
      <c r="K100" s="25">
        <f t="shared" si="5"/>
        <v>237488.6796400719</v>
      </c>
      <c r="M100" s="26" t="e">
        <f t="shared" si="14"/>
        <v>#DIV/0!</v>
      </c>
      <c r="N100" s="1">
        <f t="shared" si="8"/>
        <v>0</v>
      </c>
      <c r="O100" s="44">
        <f t="shared" si="15"/>
        <v>0</v>
      </c>
    </row>
    <row r="101" spans="1:15" x14ac:dyDescent="0.25">
      <c r="A101" s="24">
        <f t="shared" si="10"/>
        <v>41730</v>
      </c>
      <c r="B101" s="57"/>
      <c r="C101" s="57"/>
      <c r="D101" s="57"/>
      <c r="E101" s="58"/>
      <c r="F101" s="60"/>
      <c r="G101" s="46">
        <f t="shared" si="11"/>
        <v>0</v>
      </c>
      <c r="H101" s="22" t="e">
        <f t="shared" si="12"/>
        <v>#DIV/0!</v>
      </c>
      <c r="I101" s="23">
        <f>'1 - Amortisation'!G72</f>
        <v>237258.28819501048</v>
      </c>
      <c r="J101" s="25">
        <f t="shared" si="13"/>
        <v>230.39144506142475</v>
      </c>
      <c r="K101" s="25">
        <f t="shared" si="5"/>
        <v>237258.28819501048</v>
      </c>
      <c r="M101" s="26" t="e">
        <f t="shared" si="14"/>
        <v>#DIV/0!</v>
      </c>
      <c r="N101" s="1">
        <f t="shared" si="8"/>
        <v>0</v>
      </c>
      <c r="O101" s="44">
        <f t="shared" si="15"/>
        <v>0</v>
      </c>
    </row>
    <row r="102" spans="1:15" x14ac:dyDescent="0.25">
      <c r="A102" s="24">
        <f t="shared" si="10"/>
        <v>41760</v>
      </c>
      <c r="B102" s="57"/>
      <c r="C102" s="57"/>
      <c r="D102" s="57"/>
      <c r="E102" s="58"/>
      <c r="F102" s="60"/>
      <c r="G102" s="46">
        <f t="shared" si="11"/>
        <v>0</v>
      </c>
      <c r="H102" s="22" t="e">
        <f t="shared" si="12"/>
        <v>#DIV/0!</v>
      </c>
      <c r="I102" s="23">
        <f>'1 - Amortisation'!G73</f>
        <v>237026.16881411109</v>
      </c>
      <c r="J102" s="25">
        <f t="shared" si="13"/>
        <v>232.11938089938485</v>
      </c>
      <c r="K102" s="25">
        <f t="shared" si="5"/>
        <v>237026.16881411109</v>
      </c>
      <c r="M102" s="26" t="e">
        <f t="shared" si="14"/>
        <v>#DIV/0!</v>
      </c>
      <c r="N102" s="1">
        <f t="shared" si="8"/>
        <v>0</v>
      </c>
      <c r="O102" s="44">
        <f t="shared" si="15"/>
        <v>0</v>
      </c>
    </row>
    <row r="103" spans="1:15" x14ac:dyDescent="0.25">
      <c r="A103" s="24">
        <f t="shared" si="10"/>
        <v>41791</v>
      </c>
      <c r="B103" s="57"/>
      <c r="C103" s="57"/>
      <c r="D103" s="57"/>
      <c r="E103" s="58"/>
      <c r="F103" s="60"/>
      <c r="G103" s="46">
        <f t="shared" si="11"/>
        <v>0</v>
      </c>
      <c r="H103" s="22" t="e">
        <f t="shared" si="12"/>
        <v>#DIV/0!</v>
      </c>
      <c r="I103" s="23">
        <f>'1 - Amortisation'!G74</f>
        <v>236792.30853785496</v>
      </c>
      <c r="J103" s="25">
        <f t="shared" si="13"/>
        <v>233.86027625613497</v>
      </c>
      <c r="K103" s="25">
        <f t="shared" si="5"/>
        <v>236792.30853785496</v>
      </c>
      <c r="M103" s="26" t="e">
        <f t="shared" si="14"/>
        <v>#DIV/0!</v>
      </c>
      <c r="N103" s="1">
        <f t="shared" si="8"/>
        <v>0</v>
      </c>
      <c r="O103" s="44">
        <f t="shared" si="15"/>
        <v>0</v>
      </c>
    </row>
    <row r="104" spans="1:15" x14ac:dyDescent="0.25">
      <c r="A104" s="24">
        <f t="shared" si="10"/>
        <v>41821</v>
      </c>
      <c r="B104" s="57"/>
      <c r="C104" s="57"/>
      <c r="D104" s="57"/>
      <c r="E104" s="58"/>
      <c r="F104" s="60"/>
      <c r="G104" s="46">
        <f t="shared" si="11"/>
        <v>0</v>
      </c>
      <c r="H104" s="22" t="e">
        <f t="shared" si="12"/>
        <v>#DIV/0!</v>
      </c>
      <c r="I104" s="23">
        <f>'1 - Amortisation'!G75</f>
        <v>236556.69430952691</v>
      </c>
      <c r="J104" s="25">
        <f t="shared" si="13"/>
        <v>235.61422832804965</v>
      </c>
      <c r="K104" s="25">
        <f t="shared" si="5"/>
        <v>236556.69430952691</v>
      </c>
      <c r="M104" s="26" t="e">
        <f t="shared" si="14"/>
        <v>#DIV/0!</v>
      </c>
      <c r="N104" s="1">
        <f t="shared" si="8"/>
        <v>0</v>
      </c>
      <c r="O104" s="44">
        <f t="shared" si="15"/>
        <v>0</v>
      </c>
    </row>
    <row r="105" spans="1:15" x14ac:dyDescent="0.25">
      <c r="A105" s="24">
        <f t="shared" si="10"/>
        <v>41852</v>
      </c>
      <c r="B105" s="57"/>
      <c r="C105" s="57"/>
      <c r="D105" s="57"/>
      <c r="E105" s="58"/>
      <c r="F105" s="60"/>
      <c r="G105" s="46">
        <f t="shared" si="11"/>
        <v>0</v>
      </c>
      <c r="H105" s="22" t="e">
        <f t="shared" si="12"/>
        <v>#DIV/0!</v>
      </c>
      <c r="I105" s="23">
        <f>'1 - Amortisation'!G76</f>
        <v>236319.31297448641</v>
      </c>
      <c r="J105" s="25">
        <f t="shared" si="13"/>
        <v>237.3813350404962</v>
      </c>
      <c r="K105" s="25">
        <f t="shared" si="5"/>
        <v>236319.31297448641</v>
      </c>
      <c r="M105" s="26" t="e">
        <f t="shared" si="14"/>
        <v>#DIV/0!</v>
      </c>
      <c r="N105" s="1">
        <f t="shared" si="8"/>
        <v>0</v>
      </c>
      <c r="O105" s="44">
        <f t="shared" si="15"/>
        <v>0</v>
      </c>
    </row>
    <row r="106" spans="1:15" x14ac:dyDescent="0.25">
      <c r="A106" s="24">
        <f t="shared" si="10"/>
        <v>41883</v>
      </c>
      <c r="B106" s="57"/>
      <c r="C106" s="57"/>
      <c r="D106" s="57"/>
      <c r="E106" s="58"/>
      <c r="F106" s="60"/>
      <c r="G106" s="46">
        <f t="shared" si="11"/>
        <v>0</v>
      </c>
      <c r="H106" s="22" t="e">
        <f t="shared" si="12"/>
        <v>#DIV/0!</v>
      </c>
      <c r="I106" s="23">
        <f>'1 - Amortisation'!G77</f>
        <v>236080.15127943311</v>
      </c>
      <c r="J106" s="25">
        <f t="shared" si="13"/>
        <v>239.16169505330618</v>
      </c>
      <c r="K106" s="25">
        <f t="shared" si="5"/>
        <v>236080.15127943311</v>
      </c>
      <c r="M106" s="26" t="e">
        <f t="shared" si="14"/>
        <v>#DIV/0!</v>
      </c>
      <c r="N106" s="1">
        <f t="shared" si="8"/>
        <v>0</v>
      </c>
      <c r="O106" s="44">
        <f t="shared" si="15"/>
        <v>0</v>
      </c>
    </row>
    <row r="107" spans="1:15" x14ac:dyDescent="0.25">
      <c r="A107" s="24">
        <f t="shared" si="10"/>
        <v>41913</v>
      </c>
      <c r="B107" s="57"/>
      <c r="C107" s="57"/>
      <c r="D107" s="57"/>
      <c r="E107" s="58"/>
      <c r="F107" s="60"/>
      <c r="G107" s="46">
        <f t="shared" si="11"/>
        <v>0</v>
      </c>
      <c r="H107" s="22" t="e">
        <f t="shared" si="12"/>
        <v>#DIV/0!</v>
      </c>
      <c r="I107" s="23">
        <f>'1 - Amortisation'!G78</f>
        <v>235839.19587166689</v>
      </c>
      <c r="J107" s="25">
        <f t="shared" si="13"/>
        <v>240.95540776621783</v>
      </c>
      <c r="K107" s="25">
        <f t="shared" si="5"/>
        <v>235839.19587166689</v>
      </c>
      <c r="M107" s="26" t="e">
        <f t="shared" si="14"/>
        <v>#DIV/0!</v>
      </c>
      <c r="N107" s="1">
        <f t="shared" si="8"/>
        <v>0</v>
      </c>
      <c r="O107" s="44">
        <f t="shared" si="15"/>
        <v>0</v>
      </c>
    </row>
    <row r="108" spans="1:15" x14ac:dyDescent="0.25">
      <c r="A108" s="24">
        <f t="shared" si="10"/>
        <v>41944</v>
      </c>
      <c r="B108" s="57"/>
      <c r="C108" s="57"/>
      <c r="D108" s="57"/>
      <c r="E108" s="58"/>
      <c r="F108" s="60"/>
      <c r="G108" s="46">
        <f t="shared" si="11"/>
        <v>0</v>
      </c>
      <c r="H108" s="22" t="e">
        <f t="shared" si="12"/>
        <v>#DIV/0!</v>
      </c>
      <c r="I108" s="23">
        <f>'1 - Amortisation'!G79</f>
        <v>235596.43329834242</v>
      </c>
      <c r="J108" s="25">
        <f t="shared" si="13"/>
        <v>242.76257332446403</v>
      </c>
      <c r="K108" s="25">
        <f t="shared" si="5"/>
        <v>235596.43329834242</v>
      </c>
      <c r="M108" s="26" t="e">
        <f t="shared" si="14"/>
        <v>#DIV/0!</v>
      </c>
      <c r="N108" s="1">
        <f t="shared" si="8"/>
        <v>0</v>
      </c>
      <c r="O108" s="44">
        <f t="shared" si="15"/>
        <v>0</v>
      </c>
    </row>
    <row r="109" spans="1:15" x14ac:dyDescent="0.25">
      <c r="A109" s="24">
        <f t="shared" si="10"/>
        <v>41974</v>
      </c>
      <c r="B109" s="57"/>
      <c r="C109" s="57"/>
      <c r="D109" s="57"/>
      <c r="E109" s="58"/>
      <c r="F109" s="60"/>
      <c r="G109" s="46">
        <f t="shared" si="11"/>
        <v>0</v>
      </c>
      <c r="H109" s="22" t="e">
        <f t="shared" si="12"/>
        <v>#DIV/0!</v>
      </c>
      <c r="I109" s="23">
        <f>'1 - Amortisation'!G80</f>
        <v>235351.85000571804</v>
      </c>
      <c r="J109" s="25">
        <f t="shared" si="13"/>
        <v>244.58329262438929</v>
      </c>
      <c r="K109" s="25">
        <f t="shared" si="5"/>
        <v>235351.85000571804</v>
      </c>
      <c r="M109" s="26" t="e">
        <f t="shared" si="14"/>
        <v>#DIV/0!</v>
      </c>
      <c r="N109" s="1">
        <f t="shared" si="8"/>
        <v>0</v>
      </c>
      <c r="O109" s="44">
        <f t="shared" si="15"/>
        <v>0</v>
      </c>
    </row>
    <row r="110" spans="1:15" x14ac:dyDescent="0.25">
      <c r="A110" s="24">
        <f t="shared" si="10"/>
        <v>42005</v>
      </c>
      <c r="B110" s="57"/>
      <c r="C110" s="57"/>
      <c r="D110" s="57"/>
      <c r="E110" s="58"/>
      <c r="F110" s="60"/>
      <c r="G110" s="46">
        <f t="shared" si="11"/>
        <v>0</v>
      </c>
      <c r="H110" s="22" t="e">
        <f t="shared" si="12"/>
        <v>#DIV/0!</v>
      </c>
      <c r="I110" s="23">
        <f>'1 - Amortisation'!G81</f>
        <v>235105.43233839897</v>
      </c>
      <c r="J110" s="25">
        <f t="shared" si="13"/>
        <v>246.41766731906682</v>
      </c>
      <c r="K110" s="25">
        <f t="shared" si="5"/>
        <v>235105.43233839897</v>
      </c>
      <c r="M110" s="26" t="e">
        <f t="shared" si="14"/>
        <v>#DIV/0!</v>
      </c>
      <c r="N110" s="1">
        <f t="shared" si="8"/>
        <v>0</v>
      </c>
      <c r="O110" s="44">
        <f t="shared" si="15"/>
        <v>0</v>
      </c>
    </row>
    <row r="111" spans="1:15" x14ac:dyDescent="0.25">
      <c r="A111" s="24">
        <f t="shared" si="10"/>
        <v>42036</v>
      </c>
      <c r="B111" s="57"/>
      <c r="C111" s="57"/>
      <c r="D111" s="57"/>
      <c r="E111" s="58"/>
      <c r="F111" s="60"/>
      <c r="G111" s="46">
        <f t="shared" si="11"/>
        <v>0</v>
      </c>
      <c r="H111" s="22" t="e">
        <f t="shared" si="12"/>
        <v>#DIV/0!</v>
      </c>
      <c r="I111" s="23">
        <f>'1 - Amortisation'!G82</f>
        <v>234857.16653857499</v>
      </c>
      <c r="J111" s="25">
        <f t="shared" si="13"/>
        <v>248.26579982397379</v>
      </c>
      <c r="K111" s="25">
        <f t="shared" si="5"/>
        <v>234857.16653857499</v>
      </c>
      <c r="M111" s="26" t="e">
        <f t="shared" si="14"/>
        <v>#DIV/0!</v>
      </c>
      <c r="N111" s="1">
        <f t="shared" si="8"/>
        <v>0</v>
      </c>
      <c r="O111" s="44">
        <f t="shared" si="15"/>
        <v>0</v>
      </c>
    </row>
    <row r="112" spans="1:15" x14ac:dyDescent="0.25">
      <c r="A112" s="24">
        <f t="shared" si="10"/>
        <v>42064</v>
      </c>
      <c r="B112" s="57"/>
      <c r="C112" s="57"/>
      <c r="D112" s="57"/>
      <c r="E112" s="58"/>
      <c r="F112" s="60"/>
      <c r="G112" s="46">
        <f t="shared" si="11"/>
        <v>0</v>
      </c>
      <c r="H112" s="22" t="e">
        <f t="shared" si="12"/>
        <v>#DIV/0!</v>
      </c>
      <c r="I112" s="23">
        <f>'1 - Amortisation'!G83</f>
        <v>234607.03874525236</v>
      </c>
      <c r="J112" s="25">
        <f t="shared" si="13"/>
        <v>250.12779332263744</v>
      </c>
      <c r="K112" s="25">
        <f t="shared" si="5"/>
        <v>234607.03874525236</v>
      </c>
      <c r="M112" s="26" t="e">
        <f t="shared" si="14"/>
        <v>#DIV/0!</v>
      </c>
      <c r="N112" s="1">
        <f t="shared" si="8"/>
        <v>0</v>
      </c>
      <c r="O112" s="44">
        <f t="shared" si="15"/>
        <v>0</v>
      </c>
    </row>
    <row r="113" spans="1:15" x14ac:dyDescent="0.25">
      <c r="A113" s="24">
        <f t="shared" si="10"/>
        <v>42095</v>
      </c>
      <c r="B113" s="57"/>
      <c r="C113" s="57"/>
      <c r="D113" s="57"/>
      <c r="E113" s="58"/>
      <c r="F113" s="60"/>
      <c r="G113" s="46">
        <f t="shared" si="11"/>
        <v>0</v>
      </c>
      <c r="H113" s="22" t="e">
        <f t="shared" si="12"/>
        <v>#DIV/0!</v>
      </c>
      <c r="I113" s="23">
        <f>'1 - Amortisation'!G84</f>
        <v>234355.03499347979</v>
      </c>
      <c r="J113" s="25">
        <f t="shared" si="13"/>
        <v>252.00375177257229</v>
      </c>
      <c r="K113" s="25">
        <f t="shared" si="5"/>
        <v>234355.03499347979</v>
      </c>
      <c r="M113" s="26" t="e">
        <f t="shared" si="14"/>
        <v>#DIV/0!</v>
      </c>
      <c r="N113" s="1">
        <f t="shared" si="8"/>
        <v>0</v>
      </c>
      <c r="O113" s="44">
        <f t="shared" si="15"/>
        <v>0</v>
      </c>
    </row>
    <row r="114" spans="1:15" x14ac:dyDescent="0.25">
      <c r="A114" s="24">
        <f t="shared" si="10"/>
        <v>42125</v>
      </c>
      <c r="B114" s="57"/>
      <c r="C114" s="57"/>
      <c r="D114" s="57"/>
      <c r="E114" s="58"/>
      <c r="F114" s="60"/>
      <c r="G114" s="46">
        <f t="shared" si="11"/>
        <v>0</v>
      </c>
      <c r="H114" s="22" t="e">
        <f t="shared" si="12"/>
        <v>#DIV/0!</v>
      </c>
      <c r="I114" s="23">
        <f>'1 - Amortisation'!G85</f>
        <v>234101.14121356892</v>
      </c>
      <c r="J114" s="25">
        <f t="shared" si="13"/>
        <v>253.89377991086803</v>
      </c>
      <c r="K114" s="25">
        <f t="shared" si="5"/>
        <v>234101.14121356892</v>
      </c>
      <c r="M114" s="26" t="e">
        <f t="shared" si="14"/>
        <v>#DIV/0!</v>
      </c>
      <c r="N114" s="1">
        <f t="shared" si="8"/>
        <v>0</v>
      </c>
      <c r="O114" s="44">
        <f t="shared" si="15"/>
        <v>0</v>
      </c>
    </row>
    <row r="115" spans="1:15" x14ac:dyDescent="0.25">
      <c r="A115" s="24">
        <f t="shared" si="10"/>
        <v>42156</v>
      </c>
      <c r="B115" s="57"/>
      <c r="C115" s="57"/>
      <c r="D115" s="57"/>
      <c r="E115" s="58"/>
      <c r="F115" s="60"/>
      <c r="G115" s="46">
        <f t="shared" si="11"/>
        <v>0</v>
      </c>
      <c r="H115" s="22" t="e">
        <f t="shared" si="12"/>
        <v>#DIV/0!</v>
      </c>
      <c r="I115" s="23">
        <f>'1 - Amortisation'!G86</f>
        <v>233845.34323030873</v>
      </c>
      <c r="J115" s="25">
        <f t="shared" si="13"/>
        <v>255.79798326018499</v>
      </c>
      <c r="K115" s="25">
        <f t="shared" si="5"/>
        <v>233845.34323030873</v>
      </c>
      <c r="M115" s="26" t="e">
        <f t="shared" si="14"/>
        <v>#DIV/0!</v>
      </c>
      <c r="N115" s="1">
        <f t="shared" si="8"/>
        <v>0</v>
      </c>
      <c r="O115" s="44">
        <f t="shared" si="15"/>
        <v>0</v>
      </c>
    </row>
    <row r="116" spans="1:15" x14ac:dyDescent="0.25">
      <c r="A116" s="24">
        <f t="shared" si="10"/>
        <v>42186</v>
      </c>
      <c r="B116" s="57"/>
      <c r="C116" s="57"/>
      <c r="D116" s="57"/>
      <c r="E116" s="58"/>
      <c r="F116" s="61"/>
      <c r="G116" s="46">
        <f t="shared" si="11"/>
        <v>0</v>
      </c>
      <c r="H116" s="22" t="e">
        <f t="shared" si="12"/>
        <v>#DIV/0!</v>
      </c>
      <c r="I116" s="23">
        <f>'1 - Amortisation'!G87</f>
        <v>233587.6267621741</v>
      </c>
      <c r="J116" s="25">
        <f t="shared" si="13"/>
        <v>257.71646813463303</v>
      </c>
      <c r="K116" s="25">
        <f t="shared" si="5"/>
        <v>233587.6267621741</v>
      </c>
      <c r="M116" s="26" t="e">
        <f t="shared" si="14"/>
        <v>#DIV/0!</v>
      </c>
      <c r="N116" s="1">
        <f t="shared" si="8"/>
        <v>0</v>
      </c>
      <c r="O116" s="44">
        <f t="shared" si="15"/>
        <v>0</v>
      </c>
    </row>
    <row r="117" spans="1:15" x14ac:dyDescent="0.25">
      <c r="A117" s="24">
        <f t="shared" si="10"/>
        <v>42217</v>
      </c>
      <c r="B117" s="57"/>
      <c r="C117" s="57"/>
      <c r="D117" s="57"/>
      <c r="E117" s="58"/>
      <c r="F117" s="61"/>
      <c r="G117" s="46">
        <f t="shared" si="11"/>
        <v>0</v>
      </c>
      <c r="H117" s="22" t="e">
        <f t="shared" si="12"/>
        <v>#DIV/0!</v>
      </c>
      <c r="I117" s="23">
        <f>'1 - Amortisation'!G88</f>
        <v>233327.97742052845</v>
      </c>
      <c r="J117" s="25">
        <f t="shared" si="13"/>
        <v>259.64934164565057</v>
      </c>
      <c r="K117" s="25">
        <f t="shared" ref="K117:K180" si="16">I117-F117</f>
        <v>233327.97742052845</v>
      </c>
      <c r="M117" s="26" t="e">
        <f t="shared" si="14"/>
        <v>#DIV/0!</v>
      </c>
      <c r="N117" s="1">
        <f t="shared" si="8"/>
        <v>0</v>
      </c>
      <c r="O117" s="44">
        <f t="shared" si="15"/>
        <v>0</v>
      </c>
    </row>
    <row r="118" spans="1:15" x14ac:dyDescent="0.25">
      <c r="A118" s="24">
        <f t="shared" si="10"/>
        <v>42248</v>
      </c>
      <c r="B118" s="57"/>
      <c r="C118" s="57"/>
      <c r="D118" s="57"/>
      <c r="E118" s="58"/>
      <c r="F118" s="61"/>
      <c r="G118" s="46">
        <f t="shared" si="11"/>
        <v>0</v>
      </c>
      <c r="H118" s="22" t="e">
        <f t="shared" si="12"/>
        <v>#DIV/0!</v>
      </c>
      <c r="I118" s="23">
        <f>'1 - Amortisation'!G89</f>
        <v>233066.38070882045</v>
      </c>
      <c r="J118" s="25">
        <f t="shared" si="13"/>
        <v>261.59671170799993</v>
      </c>
      <c r="K118" s="25">
        <f t="shared" si="16"/>
        <v>233066.38070882045</v>
      </c>
      <c r="M118" s="26" t="e">
        <f t="shared" si="14"/>
        <v>#DIV/0!</v>
      </c>
      <c r="N118" s="1">
        <f t="shared" si="8"/>
        <v>0</v>
      </c>
      <c r="O118" s="44">
        <f t="shared" si="15"/>
        <v>0</v>
      </c>
    </row>
    <row r="119" spans="1:15" x14ac:dyDescent="0.25">
      <c r="A119" s="24">
        <f t="shared" si="10"/>
        <v>42278</v>
      </c>
      <c r="B119" s="57"/>
      <c r="C119" s="57"/>
      <c r="D119" s="57"/>
      <c r="E119" s="58"/>
      <c r="F119" s="61"/>
      <c r="G119" s="46">
        <f t="shared" si="11"/>
        <v>0</v>
      </c>
      <c r="H119" s="22" t="e">
        <f t="shared" si="12"/>
        <v>#DIV/0!</v>
      </c>
      <c r="I119" s="23">
        <f>'1 - Amortisation'!G90</f>
        <v>232802.82202177466</v>
      </c>
      <c r="J119" s="25">
        <f t="shared" si="13"/>
        <v>263.55868704579188</v>
      </c>
      <c r="K119" s="25">
        <f t="shared" si="16"/>
        <v>232802.82202177466</v>
      </c>
      <c r="M119" s="26" t="e">
        <f t="shared" si="14"/>
        <v>#DIV/0!</v>
      </c>
      <c r="N119" s="1">
        <f t="shared" si="8"/>
        <v>0</v>
      </c>
      <c r="O119" s="44">
        <f t="shared" si="15"/>
        <v>0</v>
      </c>
    </row>
    <row r="120" spans="1:15" x14ac:dyDescent="0.25">
      <c r="A120" s="24">
        <f t="shared" si="10"/>
        <v>42309</v>
      </c>
      <c r="B120" s="57"/>
      <c r="C120" s="57"/>
      <c r="D120" s="57"/>
      <c r="E120" s="58"/>
      <c r="F120" s="61"/>
      <c r="G120" s="46">
        <f t="shared" si="11"/>
        <v>0</v>
      </c>
      <c r="H120" s="22" t="e">
        <f t="shared" si="12"/>
        <v>#DIV/0!</v>
      </c>
      <c r="I120" s="23">
        <f>'1 - Amortisation'!G91</f>
        <v>232537.286644576</v>
      </c>
      <c r="J120" s="25">
        <f t="shared" si="13"/>
        <v>265.53537719865562</v>
      </c>
      <c r="K120" s="25">
        <f t="shared" si="16"/>
        <v>232537.286644576</v>
      </c>
      <c r="M120" s="26" t="e">
        <f t="shared" si="14"/>
        <v>#DIV/0!</v>
      </c>
      <c r="N120" s="1">
        <f t="shared" si="8"/>
        <v>0</v>
      </c>
      <c r="O120" s="44">
        <f t="shared" si="15"/>
        <v>0</v>
      </c>
    </row>
    <row r="121" spans="1:15" x14ac:dyDescent="0.25">
      <c r="A121" s="24">
        <f t="shared" si="10"/>
        <v>42339</v>
      </c>
      <c r="B121" s="57"/>
      <c r="C121" s="57"/>
      <c r="D121" s="57"/>
      <c r="E121" s="58"/>
      <c r="F121" s="61"/>
      <c r="G121" s="46">
        <f t="shared" si="11"/>
        <v>0</v>
      </c>
      <c r="H121" s="22" t="e">
        <f t="shared" si="12"/>
        <v>#DIV/0!</v>
      </c>
      <c r="I121" s="23">
        <f>'1 - Amortisation'!G92</f>
        <v>232269.75975204835</v>
      </c>
      <c r="J121" s="25">
        <f t="shared" si="13"/>
        <v>267.52689252764685</v>
      </c>
      <c r="K121" s="25">
        <f t="shared" si="16"/>
        <v>232269.75975204835</v>
      </c>
      <c r="M121" s="26" t="e">
        <f t="shared" si="14"/>
        <v>#DIV/0!</v>
      </c>
      <c r="N121" s="1">
        <f t="shared" si="8"/>
        <v>0</v>
      </c>
      <c r="O121" s="44">
        <f t="shared" si="15"/>
        <v>0</v>
      </c>
    </row>
    <row r="122" spans="1:15" x14ac:dyDescent="0.25">
      <c r="A122" s="24">
        <f t="shared" si="10"/>
        <v>42370</v>
      </c>
      <c r="B122" s="57"/>
      <c r="C122" s="57"/>
      <c r="D122" s="57"/>
      <c r="E122" s="58"/>
      <c r="F122" s="61"/>
      <c r="G122" s="46">
        <f t="shared" si="11"/>
        <v>0</v>
      </c>
      <c r="H122" s="22" t="e">
        <f t="shared" si="12"/>
        <v>#DIV/0!</v>
      </c>
      <c r="I122" s="23">
        <f>'1 - Amortisation'!G93</f>
        <v>232000.22640782676</v>
      </c>
      <c r="J122" s="25">
        <f t="shared" si="13"/>
        <v>269.53334422159242</v>
      </c>
      <c r="K122" s="25">
        <f t="shared" si="16"/>
        <v>232000.22640782676</v>
      </c>
      <c r="M122" s="26" t="e">
        <f t="shared" si="14"/>
        <v>#DIV/0!</v>
      </c>
      <c r="N122" s="1">
        <f t="shared" si="8"/>
        <v>0</v>
      </c>
      <c r="O122" s="44">
        <f t="shared" si="15"/>
        <v>0</v>
      </c>
    </row>
    <row r="123" spans="1:15" x14ac:dyDescent="0.25">
      <c r="A123" s="24">
        <f t="shared" si="10"/>
        <v>42401</v>
      </c>
      <c r="B123" s="57"/>
      <c r="C123" s="57"/>
      <c r="D123" s="57"/>
      <c r="E123" s="58"/>
      <c r="F123" s="61"/>
      <c r="G123" s="46">
        <f t="shared" si="11"/>
        <v>0</v>
      </c>
      <c r="H123" s="22" t="e">
        <f t="shared" si="12"/>
        <v>#DIV/0!</v>
      </c>
      <c r="I123" s="23">
        <f>'1 - Amortisation'!G94</f>
        <v>231728.6715635235</v>
      </c>
      <c r="J123" s="25">
        <f t="shared" si="13"/>
        <v>271.55484430326032</v>
      </c>
      <c r="K123" s="25">
        <f t="shared" si="16"/>
        <v>231728.6715635235</v>
      </c>
      <c r="M123" s="26" t="e">
        <f t="shared" si="14"/>
        <v>#DIV/0!</v>
      </c>
      <c r="N123" s="1">
        <f t="shared" si="8"/>
        <v>0</v>
      </c>
      <c r="O123" s="44">
        <f t="shared" si="15"/>
        <v>0</v>
      </c>
    </row>
    <row r="124" spans="1:15" x14ac:dyDescent="0.25">
      <c r="A124" s="24">
        <f t="shared" si="10"/>
        <v>42430</v>
      </c>
      <c r="B124" s="57"/>
      <c r="C124" s="57"/>
      <c r="D124" s="57"/>
      <c r="E124" s="58"/>
      <c r="F124" s="61"/>
      <c r="G124" s="46">
        <f t="shared" si="11"/>
        <v>0</v>
      </c>
      <c r="H124" s="22" t="e">
        <f t="shared" si="12"/>
        <v>#DIV/0!</v>
      </c>
      <c r="I124" s="23">
        <f>'1 - Amortisation'!G95</f>
        <v>231455.08005788797</v>
      </c>
      <c r="J124" s="25">
        <f t="shared" si="13"/>
        <v>273.59150563552976</v>
      </c>
      <c r="K124" s="25">
        <f t="shared" si="16"/>
        <v>231455.08005788797</v>
      </c>
      <c r="M124" s="26" t="e">
        <f t="shared" si="14"/>
        <v>#DIV/0!</v>
      </c>
      <c r="N124" s="1">
        <f t="shared" si="8"/>
        <v>0</v>
      </c>
      <c r="O124" s="44">
        <f t="shared" si="15"/>
        <v>0</v>
      </c>
    </row>
    <row r="125" spans="1:15" x14ac:dyDescent="0.25">
      <c r="A125" s="24">
        <f t="shared" si="10"/>
        <v>42461</v>
      </c>
      <c r="B125" s="57"/>
      <c r="C125" s="57"/>
      <c r="D125" s="57"/>
      <c r="E125" s="58"/>
      <c r="F125" s="61"/>
      <c r="G125" s="46">
        <f t="shared" si="11"/>
        <v>0</v>
      </c>
      <c r="H125" s="22" t="e">
        <f t="shared" si="12"/>
        <v>#DIV/0!</v>
      </c>
      <c r="I125" s="23">
        <f>'1 - Amortisation'!G96</f>
        <v>231179.43661596018</v>
      </c>
      <c r="J125" s="25">
        <f t="shared" si="13"/>
        <v>275.6434419277939</v>
      </c>
      <c r="K125" s="25">
        <f t="shared" si="16"/>
        <v>231179.43661596018</v>
      </c>
      <c r="M125" s="26" t="e">
        <f t="shared" si="14"/>
        <v>#DIV/0!</v>
      </c>
      <c r="N125" s="1">
        <f t="shared" si="8"/>
        <v>0</v>
      </c>
      <c r="O125" s="44">
        <f t="shared" si="15"/>
        <v>0</v>
      </c>
    </row>
    <row r="126" spans="1:15" x14ac:dyDescent="0.25">
      <c r="A126" s="24">
        <f t="shared" si="10"/>
        <v>42491</v>
      </c>
      <c r="B126" s="57"/>
      <c r="C126" s="57"/>
      <c r="D126" s="57"/>
      <c r="E126" s="58"/>
      <c r="F126" s="61"/>
      <c r="G126" s="46">
        <f t="shared" si="11"/>
        <v>0</v>
      </c>
      <c r="H126" s="22" t="e">
        <f t="shared" si="12"/>
        <v>#DIV/0!</v>
      </c>
      <c r="I126" s="23">
        <f>'1 - Amortisation'!G97</f>
        <v>230901.72584821793</v>
      </c>
      <c r="J126" s="25">
        <f t="shared" si="13"/>
        <v>277.71076774224639</v>
      </c>
      <c r="K126" s="25">
        <f t="shared" si="16"/>
        <v>230901.72584821793</v>
      </c>
      <c r="M126" s="26" t="e">
        <f t="shared" si="14"/>
        <v>#DIV/0!</v>
      </c>
      <c r="N126" s="1">
        <f t="shared" si="8"/>
        <v>0</v>
      </c>
      <c r="O126" s="44">
        <f t="shared" si="15"/>
        <v>0</v>
      </c>
    </row>
    <row r="127" spans="1:15" x14ac:dyDescent="0.25">
      <c r="A127" s="24">
        <f t="shared" si="10"/>
        <v>42522</v>
      </c>
      <c r="B127" s="57"/>
      <c r="C127" s="57"/>
      <c r="D127" s="57"/>
      <c r="E127" s="58"/>
      <c r="F127" s="61"/>
      <c r="G127" s="46">
        <f t="shared" si="11"/>
        <v>0</v>
      </c>
      <c r="H127" s="22" t="e">
        <f t="shared" si="12"/>
        <v>#DIV/0!</v>
      </c>
      <c r="I127" s="23">
        <f>'1 - Amortisation'!G98</f>
        <v>230621.93224971762</v>
      </c>
      <c r="J127" s="25">
        <f t="shared" si="13"/>
        <v>279.79359850031324</v>
      </c>
      <c r="K127" s="25">
        <f t="shared" si="16"/>
        <v>230621.93224971762</v>
      </c>
      <c r="M127" s="26" t="e">
        <f t="shared" si="14"/>
        <v>#DIV/0!</v>
      </c>
      <c r="N127" s="1">
        <f t="shared" si="8"/>
        <v>0</v>
      </c>
      <c r="O127" s="44">
        <f t="shared" si="15"/>
        <v>0</v>
      </c>
    </row>
    <row r="128" spans="1:15" x14ac:dyDescent="0.25">
      <c r="A128" s="24">
        <f t="shared" si="10"/>
        <v>42552</v>
      </c>
      <c r="B128" s="57"/>
      <c r="C128" s="57"/>
      <c r="D128" s="57"/>
      <c r="E128" s="58"/>
      <c r="F128" s="61"/>
      <c r="G128" s="46">
        <f t="shared" si="11"/>
        <v>0</v>
      </c>
      <c r="H128" s="22" t="e">
        <f t="shared" si="12"/>
        <v>#DIV/0!</v>
      </c>
      <c r="I128" s="23">
        <f>'1 - Amortisation'!G99</f>
        <v>230340.04019922853</v>
      </c>
      <c r="J128" s="25">
        <f t="shared" si="13"/>
        <v>281.8920504890848</v>
      </c>
      <c r="K128" s="25">
        <f t="shared" si="16"/>
        <v>230340.04019922853</v>
      </c>
      <c r="M128" s="26" t="e">
        <f t="shared" si="14"/>
        <v>#DIV/0!</v>
      </c>
      <c r="N128" s="1">
        <f t="shared" si="8"/>
        <v>0</v>
      </c>
      <c r="O128" s="44">
        <f t="shared" si="15"/>
        <v>0</v>
      </c>
    </row>
    <row r="129" spans="1:15" x14ac:dyDescent="0.25">
      <c r="A129" s="24">
        <f t="shared" si="10"/>
        <v>42583</v>
      </c>
      <c r="B129" s="57"/>
      <c r="C129" s="57"/>
      <c r="D129" s="57"/>
      <c r="E129" s="58"/>
      <c r="F129" s="61"/>
      <c r="G129" s="46">
        <f t="shared" si="11"/>
        <v>0</v>
      </c>
      <c r="H129" s="22" t="e">
        <f t="shared" si="12"/>
        <v>#DIV/0!</v>
      </c>
      <c r="I129" s="23">
        <f>'1 - Amortisation'!G100</f>
        <v>230056.03395836079</v>
      </c>
      <c r="J129" s="25">
        <f t="shared" si="13"/>
        <v>284.00624086774769</v>
      </c>
      <c r="K129" s="25">
        <f t="shared" si="16"/>
        <v>230056.03395836079</v>
      </c>
      <c r="M129" s="26" t="e">
        <f t="shared" si="14"/>
        <v>#DIV/0!</v>
      </c>
      <c r="N129" s="1">
        <f t="shared" si="8"/>
        <v>0</v>
      </c>
      <c r="O129" s="44">
        <f t="shared" si="15"/>
        <v>0</v>
      </c>
    </row>
    <row r="130" spans="1:15" x14ac:dyDescent="0.25">
      <c r="A130" s="24">
        <f t="shared" si="10"/>
        <v>42614</v>
      </c>
      <c r="B130" s="57"/>
      <c r="C130" s="57"/>
      <c r="D130" s="57"/>
      <c r="E130" s="58"/>
      <c r="F130" s="61"/>
      <c r="G130" s="46">
        <f t="shared" si="11"/>
        <v>0</v>
      </c>
      <c r="H130" s="22" t="e">
        <f t="shared" si="12"/>
        <v>#DIV/0!</v>
      </c>
      <c r="I130" s="23">
        <f>'1 - Amortisation'!G101</f>
        <v>229769.89767068654</v>
      </c>
      <c r="J130" s="25">
        <f t="shared" si="13"/>
        <v>286.13628767424962</v>
      </c>
      <c r="K130" s="25">
        <f t="shared" si="16"/>
        <v>229769.89767068654</v>
      </c>
      <c r="M130" s="26" t="e">
        <f t="shared" si="14"/>
        <v>#DIV/0!</v>
      </c>
      <c r="N130" s="1">
        <f t="shared" si="8"/>
        <v>0</v>
      </c>
      <c r="O130" s="44">
        <f t="shared" si="15"/>
        <v>0</v>
      </c>
    </row>
    <row r="131" spans="1:15" x14ac:dyDescent="0.25">
      <c r="A131" s="24">
        <f t="shared" si="10"/>
        <v>42644</v>
      </c>
      <c r="B131" s="57"/>
      <c r="C131" s="57"/>
      <c r="D131" s="57"/>
      <c r="E131" s="58"/>
      <c r="F131" s="61"/>
      <c r="G131" s="46">
        <f t="shared" si="11"/>
        <v>0</v>
      </c>
      <c r="H131" s="22" t="e">
        <f t="shared" si="12"/>
        <v>#DIV/0!</v>
      </c>
      <c r="I131" s="23">
        <f>'1 - Amortisation'!G102</f>
        <v>229481.61536085472</v>
      </c>
      <c r="J131" s="25">
        <f t="shared" si="13"/>
        <v>288.28230983181857</v>
      </c>
      <c r="K131" s="25">
        <f t="shared" si="16"/>
        <v>229481.61536085472</v>
      </c>
      <c r="M131" s="26" t="e">
        <f t="shared" si="14"/>
        <v>#DIV/0!</v>
      </c>
      <c r="N131" s="1">
        <f t="shared" si="8"/>
        <v>0</v>
      </c>
      <c r="O131" s="44">
        <f t="shared" si="15"/>
        <v>0</v>
      </c>
    </row>
    <row r="132" spans="1:15" x14ac:dyDescent="0.25">
      <c r="A132" s="24">
        <f t="shared" si="10"/>
        <v>42675</v>
      </c>
      <c r="B132" s="57"/>
      <c r="C132" s="57"/>
      <c r="D132" s="57"/>
      <c r="E132" s="58"/>
      <c r="F132" s="61"/>
      <c r="G132" s="46">
        <f t="shared" si="11"/>
        <v>0</v>
      </c>
      <c r="H132" s="22" t="e">
        <f t="shared" si="12"/>
        <v>#DIV/0!</v>
      </c>
      <c r="I132" s="23">
        <f>'1 - Amortisation'!G103</f>
        <v>229191.17093369918</v>
      </c>
      <c r="J132" s="25">
        <f t="shared" si="13"/>
        <v>290.44442715554032</v>
      </c>
      <c r="K132" s="25">
        <f t="shared" si="16"/>
        <v>229191.17093369918</v>
      </c>
      <c r="M132" s="26" t="e">
        <f t="shared" si="14"/>
        <v>#DIV/0!</v>
      </c>
      <c r="N132" s="1">
        <f t="shared" si="8"/>
        <v>0</v>
      </c>
      <c r="O132" s="44">
        <f t="shared" si="15"/>
        <v>0</v>
      </c>
    </row>
    <row r="133" spans="1:15" x14ac:dyDescent="0.25">
      <c r="A133" s="24">
        <f t="shared" si="10"/>
        <v>42705</v>
      </c>
      <c r="B133" s="57"/>
      <c r="C133" s="57"/>
      <c r="D133" s="57"/>
      <c r="E133" s="58"/>
      <c r="F133" s="61"/>
      <c r="G133" s="46">
        <f t="shared" si="11"/>
        <v>0</v>
      </c>
      <c r="H133" s="22" t="e">
        <f t="shared" si="12"/>
        <v>#DIV/0!</v>
      </c>
      <c r="I133" s="23">
        <f>'1 - Amortisation'!G104</f>
        <v>228898.54817333998</v>
      </c>
      <c r="J133" s="25">
        <f t="shared" si="13"/>
        <v>292.62276035919785</v>
      </c>
      <c r="K133" s="25">
        <f t="shared" si="16"/>
        <v>228898.54817333998</v>
      </c>
      <c r="M133" s="26" t="e">
        <f t="shared" si="14"/>
        <v>#DIV/0!</v>
      </c>
      <c r="N133" s="1">
        <f t="shared" si="8"/>
        <v>0</v>
      </c>
      <c r="O133" s="44">
        <f t="shared" si="15"/>
        <v>0</v>
      </c>
    </row>
    <row r="134" spans="1:15" x14ac:dyDescent="0.25">
      <c r="A134" s="24">
        <f t="shared" si="10"/>
        <v>42736</v>
      </c>
      <c r="B134" s="57"/>
      <c r="C134" s="57"/>
      <c r="D134" s="57"/>
      <c r="E134" s="58"/>
      <c r="F134" s="61"/>
      <c r="G134" s="46">
        <f t="shared" si="11"/>
        <v>0</v>
      </c>
      <c r="H134" s="22" t="e">
        <f t="shared" si="12"/>
        <v>#DIV/0!</v>
      </c>
      <c r="I134" s="23">
        <f>'1 - Amortisation'!G105</f>
        <v>228603.73074227807</v>
      </c>
      <c r="J134" s="25">
        <f t="shared" si="13"/>
        <v>294.81743106190697</v>
      </c>
      <c r="K134" s="25">
        <f t="shared" si="16"/>
        <v>228603.73074227807</v>
      </c>
      <c r="M134" s="26" t="e">
        <f t="shared" si="14"/>
        <v>#DIV/0!</v>
      </c>
      <c r="N134" s="1">
        <f t="shared" si="8"/>
        <v>0</v>
      </c>
      <c r="O134" s="44">
        <f t="shared" si="15"/>
        <v>0</v>
      </c>
    </row>
    <row r="135" spans="1:15" x14ac:dyDescent="0.25">
      <c r="A135" s="24">
        <f t="shared" si="10"/>
        <v>42767</v>
      </c>
      <c r="B135" s="57"/>
      <c r="C135" s="57"/>
      <c r="D135" s="57"/>
      <c r="E135" s="58"/>
      <c r="F135" s="61"/>
      <c r="G135" s="46">
        <f t="shared" si="11"/>
        <v>0</v>
      </c>
      <c r="H135" s="22" t="e">
        <f t="shared" si="12"/>
        <v>#DIV/0!</v>
      </c>
      <c r="I135" s="23">
        <f>'1 - Amortisation'!G106</f>
        <v>228306.7021804832</v>
      </c>
      <c r="J135" s="25">
        <f t="shared" si="13"/>
        <v>297.02856179486844</v>
      </c>
      <c r="K135" s="25">
        <f t="shared" si="16"/>
        <v>228306.7021804832</v>
      </c>
      <c r="M135" s="26" t="e">
        <f t="shared" si="14"/>
        <v>#DIV/0!</v>
      </c>
      <c r="N135" s="1">
        <f t="shared" si="8"/>
        <v>0</v>
      </c>
      <c r="O135" s="44">
        <f t="shared" si="15"/>
        <v>0</v>
      </c>
    </row>
    <row r="136" spans="1:15" x14ac:dyDescent="0.25">
      <c r="A136" s="24">
        <f t="shared" si="10"/>
        <v>42795</v>
      </c>
      <c r="B136" s="57"/>
      <c r="C136" s="57"/>
      <c r="D136" s="57"/>
      <c r="E136" s="58"/>
      <c r="F136" s="61"/>
      <c r="G136" s="46">
        <f t="shared" si="11"/>
        <v>0</v>
      </c>
      <c r="H136" s="22" t="e">
        <f t="shared" si="12"/>
        <v>#DIV/0!</v>
      </c>
      <c r="I136" s="23">
        <f>'1 - Amortisation'!G107</f>
        <v>228007.44590447488</v>
      </c>
      <c r="J136" s="25">
        <f t="shared" si="13"/>
        <v>299.25627600832377</v>
      </c>
      <c r="K136" s="25">
        <f t="shared" si="16"/>
        <v>228007.44590447488</v>
      </c>
      <c r="M136" s="26" t="e">
        <f t="shared" si="14"/>
        <v>#DIV/0!</v>
      </c>
      <c r="N136" s="1">
        <f t="shared" si="8"/>
        <v>0</v>
      </c>
      <c r="O136" s="44">
        <f t="shared" si="15"/>
        <v>0</v>
      </c>
    </row>
    <row r="137" spans="1:15" x14ac:dyDescent="0.25">
      <c r="A137" s="24">
        <f t="shared" si="10"/>
        <v>42826</v>
      </c>
      <c r="B137" s="57"/>
      <c r="C137" s="57"/>
      <c r="D137" s="57"/>
      <c r="E137" s="58"/>
      <c r="F137" s="61"/>
      <c r="G137" s="46">
        <f t="shared" si="11"/>
        <v>0</v>
      </c>
      <c r="H137" s="22" t="e">
        <f t="shared" si="12"/>
        <v>#DIV/0!</v>
      </c>
      <c r="I137" s="23">
        <f>'1 - Amortisation'!G108</f>
        <v>227705.94520639649</v>
      </c>
      <c r="J137" s="25">
        <f t="shared" si="13"/>
        <v>301.50069807839463</v>
      </c>
      <c r="K137" s="25">
        <f t="shared" si="16"/>
        <v>227705.94520639649</v>
      </c>
      <c r="M137" s="26" t="e">
        <f t="shared" si="14"/>
        <v>#DIV/0!</v>
      </c>
      <c r="N137" s="1">
        <f t="shared" si="8"/>
        <v>0</v>
      </c>
      <c r="O137" s="44">
        <f t="shared" si="15"/>
        <v>0</v>
      </c>
    </row>
    <row r="138" spans="1:15" x14ac:dyDescent="0.25">
      <c r="A138" s="24">
        <f t="shared" si="10"/>
        <v>42856</v>
      </c>
      <c r="B138" s="57"/>
      <c r="C138" s="57"/>
      <c r="D138" s="57"/>
      <c r="E138" s="58"/>
      <c r="F138" s="61"/>
      <c r="G138" s="46">
        <f t="shared" si="11"/>
        <v>0</v>
      </c>
      <c r="H138" s="22" t="e">
        <f t="shared" si="12"/>
        <v>#DIV/0!</v>
      </c>
      <c r="I138" s="23">
        <f>'1 - Amortisation'!G109</f>
        <v>227402.1832530825</v>
      </c>
      <c r="J138" s="25">
        <f t="shared" si="13"/>
        <v>303.76195331398048</v>
      </c>
      <c r="K138" s="25">
        <f t="shared" si="16"/>
        <v>227402.1832530825</v>
      </c>
      <c r="M138" s="26" t="e">
        <f t="shared" si="14"/>
        <v>#DIV/0!</v>
      </c>
      <c r="N138" s="1">
        <f t="shared" si="8"/>
        <v>0</v>
      </c>
      <c r="O138" s="44">
        <f t="shared" si="15"/>
        <v>0</v>
      </c>
    </row>
    <row r="139" spans="1:15" x14ac:dyDescent="0.25">
      <c r="A139" s="24">
        <f t="shared" si="10"/>
        <v>42887</v>
      </c>
      <c r="B139" s="57"/>
      <c r="C139" s="57"/>
      <c r="D139" s="57"/>
      <c r="E139" s="58"/>
      <c r="F139" s="61"/>
      <c r="G139" s="46">
        <f t="shared" si="11"/>
        <v>0</v>
      </c>
      <c r="H139" s="22" t="e">
        <f t="shared" si="12"/>
        <v>#DIV/0!</v>
      </c>
      <c r="I139" s="23">
        <f>'1 - Amortisation'!G110</f>
        <v>227096.14308511867</v>
      </c>
      <c r="J139" s="25">
        <f t="shared" si="13"/>
        <v>306.04016796383075</v>
      </c>
      <c r="K139" s="25">
        <f t="shared" si="16"/>
        <v>227096.14308511867</v>
      </c>
      <c r="M139" s="26" t="e">
        <f t="shared" si="14"/>
        <v>#DIV/0!</v>
      </c>
      <c r="N139" s="1">
        <f t="shared" si="8"/>
        <v>0</v>
      </c>
      <c r="O139" s="44">
        <f t="shared" si="15"/>
        <v>0</v>
      </c>
    </row>
    <row r="140" spans="1:15" x14ac:dyDescent="0.25">
      <c r="A140" s="24">
        <f t="shared" si="10"/>
        <v>42917</v>
      </c>
      <c r="B140" s="57"/>
      <c r="C140" s="57"/>
      <c r="D140" s="57"/>
      <c r="E140" s="58"/>
      <c r="F140" s="61"/>
      <c r="G140" s="46">
        <f t="shared" si="11"/>
        <v>0</v>
      </c>
      <c r="H140" s="22" t="e">
        <f t="shared" si="12"/>
        <v>#DIV/0!</v>
      </c>
      <c r="I140" s="23">
        <f>'1 - Amortisation'!G111</f>
        <v>226787.80761589512</v>
      </c>
      <c r="J140" s="25">
        <f t="shared" si="13"/>
        <v>308.3354692235589</v>
      </c>
      <c r="K140" s="25">
        <f t="shared" si="16"/>
        <v>226787.80761589512</v>
      </c>
      <c r="M140" s="26" t="e">
        <f t="shared" si="14"/>
        <v>#DIV/0!</v>
      </c>
      <c r="N140" s="1">
        <f t="shared" si="8"/>
        <v>0</v>
      </c>
      <c r="O140" s="44">
        <f t="shared" si="15"/>
        <v>0</v>
      </c>
    </row>
    <row r="141" spans="1:15" x14ac:dyDescent="0.25">
      <c r="A141" s="24">
        <f t="shared" si="10"/>
        <v>42948</v>
      </c>
      <c r="B141" s="57"/>
      <c r="C141" s="57"/>
      <c r="D141" s="57"/>
      <c r="E141" s="58"/>
      <c r="F141" s="61"/>
      <c r="G141" s="46">
        <f t="shared" si="11"/>
        <v>0</v>
      </c>
      <c r="H141" s="22" t="e">
        <f t="shared" si="12"/>
        <v>#DIV/0!</v>
      </c>
      <c r="I141" s="23">
        <f>'1 - Amortisation'!G112</f>
        <v>226477.15963065237</v>
      </c>
      <c r="J141" s="25">
        <f t="shared" si="13"/>
        <v>310.64798524274374</v>
      </c>
      <c r="K141" s="25">
        <f t="shared" si="16"/>
        <v>226477.15963065237</v>
      </c>
      <c r="M141" s="26" t="e">
        <f t="shared" si="14"/>
        <v>#DIV/0!</v>
      </c>
      <c r="N141" s="1">
        <f t="shared" si="8"/>
        <v>0</v>
      </c>
      <c r="O141" s="44">
        <f t="shared" si="15"/>
        <v>0</v>
      </c>
    </row>
    <row r="142" spans="1:15" x14ac:dyDescent="0.25">
      <c r="A142" s="24">
        <f t="shared" si="10"/>
        <v>42979</v>
      </c>
      <c r="B142" s="57"/>
      <c r="C142" s="57"/>
      <c r="D142" s="57"/>
      <c r="E142" s="58"/>
      <c r="F142" s="61"/>
      <c r="G142" s="46">
        <f t="shared" si="11"/>
        <v>0</v>
      </c>
      <c r="H142" s="22" t="e">
        <f t="shared" si="12"/>
        <v>#DIV/0!</v>
      </c>
      <c r="I142" s="23">
        <f>'1 - Amortisation'!G113</f>
        <v>226164.18178552031</v>
      </c>
      <c r="J142" s="25">
        <f t="shared" si="13"/>
        <v>312.97784513205988</v>
      </c>
      <c r="K142" s="25">
        <f t="shared" si="16"/>
        <v>226164.18178552031</v>
      </c>
      <c r="M142" s="26" t="e">
        <f t="shared" si="14"/>
        <v>#DIV/0!</v>
      </c>
      <c r="N142" s="1">
        <f t="shared" si="8"/>
        <v>0</v>
      </c>
      <c r="O142" s="44">
        <f t="shared" si="15"/>
        <v>0</v>
      </c>
    </row>
    <row r="143" spans="1:15" x14ac:dyDescent="0.25">
      <c r="A143" s="24">
        <f t="shared" si="10"/>
        <v>43009</v>
      </c>
      <c r="B143" s="57"/>
      <c r="C143" s="57"/>
      <c r="D143" s="57"/>
      <c r="E143" s="58"/>
      <c r="F143" s="61"/>
      <c r="G143" s="46">
        <f t="shared" si="11"/>
        <v>0</v>
      </c>
      <c r="H143" s="22" t="e">
        <f t="shared" si="12"/>
        <v>#DIV/0!</v>
      </c>
      <c r="I143" s="23">
        <f>'1 - Amortisation'!G114</f>
        <v>225848.85660654976</v>
      </c>
      <c r="J143" s="25">
        <f t="shared" si="13"/>
        <v>315.32517897055368</v>
      </c>
      <c r="K143" s="25">
        <f t="shared" si="16"/>
        <v>225848.85660654976</v>
      </c>
      <c r="M143" s="26" t="e">
        <f t="shared" si="14"/>
        <v>#DIV/0!</v>
      </c>
      <c r="N143" s="1">
        <f t="shared" si="8"/>
        <v>0</v>
      </c>
      <c r="O143" s="44">
        <f t="shared" si="15"/>
        <v>0</v>
      </c>
    </row>
    <row r="144" spans="1:15" x14ac:dyDescent="0.25">
      <c r="A144" s="24">
        <f t="shared" si="10"/>
        <v>43040</v>
      </c>
      <c r="B144" s="57"/>
      <c r="C144" s="57"/>
      <c r="D144" s="57"/>
      <c r="E144" s="58"/>
      <c r="F144" s="61"/>
      <c r="G144" s="46">
        <f t="shared" si="11"/>
        <v>0</v>
      </c>
      <c r="H144" s="22" t="e">
        <f t="shared" si="12"/>
        <v>#DIV/0!</v>
      </c>
      <c r="I144" s="23">
        <f>'1 - Amortisation'!G115</f>
        <v>225531.16648873693</v>
      </c>
      <c r="J144" s="25">
        <f t="shared" si="13"/>
        <v>317.69011781283189</v>
      </c>
      <c r="K144" s="25">
        <f t="shared" si="16"/>
        <v>225531.16648873693</v>
      </c>
      <c r="M144" s="26" t="e">
        <f t="shared" si="14"/>
        <v>#DIV/0!</v>
      </c>
      <c r="N144" s="1">
        <f t="shared" si="8"/>
        <v>0</v>
      </c>
      <c r="O144" s="44">
        <f t="shared" si="15"/>
        <v>0</v>
      </c>
    </row>
    <row r="145" spans="1:15" x14ac:dyDescent="0.25">
      <c r="A145" s="24">
        <f t="shared" si="10"/>
        <v>43070</v>
      </c>
      <c r="B145" s="57"/>
      <c r="C145" s="57"/>
      <c r="D145" s="57"/>
      <c r="E145" s="58"/>
      <c r="F145" s="61"/>
      <c r="G145" s="46">
        <f t="shared" si="11"/>
        <v>0</v>
      </c>
      <c r="H145" s="22" t="e">
        <f t="shared" si="12"/>
        <v>#DIV/0!</v>
      </c>
      <c r="I145" s="23">
        <f>'1 - Amortisation'!G116</f>
        <v>225211.0936950405</v>
      </c>
      <c r="J145" s="25">
        <f t="shared" si="13"/>
        <v>320.07279369642492</v>
      </c>
      <c r="K145" s="25">
        <f t="shared" si="16"/>
        <v>225211.0936950405</v>
      </c>
      <c r="M145" s="26" t="e">
        <f t="shared" si="14"/>
        <v>#DIV/0!</v>
      </c>
      <c r="N145" s="1">
        <f t="shared" si="8"/>
        <v>0</v>
      </c>
      <c r="O145" s="44">
        <f t="shared" si="15"/>
        <v>0</v>
      </c>
    </row>
    <row r="146" spans="1:15" x14ac:dyDescent="0.25">
      <c r="A146" s="24">
        <f t="shared" si="10"/>
        <v>43101</v>
      </c>
      <c r="B146" s="57"/>
      <c r="C146" s="57"/>
      <c r="D146" s="57"/>
      <c r="E146" s="58"/>
      <c r="F146" s="61"/>
      <c r="G146" s="46">
        <f t="shared" si="11"/>
        <v>0</v>
      </c>
      <c r="H146" s="22" t="e">
        <f t="shared" si="12"/>
        <v>#DIV/0!</v>
      </c>
      <c r="I146" s="23">
        <f>'1 - Amortisation'!G117</f>
        <v>224888.62035539135</v>
      </c>
      <c r="J146" s="25">
        <f t="shared" si="13"/>
        <v>322.47333964915015</v>
      </c>
      <c r="K146" s="25">
        <f t="shared" si="16"/>
        <v>224888.62035539135</v>
      </c>
      <c r="M146" s="26" t="e">
        <f t="shared" si="14"/>
        <v>#DIV/0!</v>
      </c>
      <c r="N146" s="1">
        <f t="shared" si="8"/>
        <v>0</v>
      </c>
      <c r="O146" s="44">
        <f t="shared" si="15"/>
        <v>0</v>
      </c>
    </row>
    <row r="147" spans="1:15" x14ac:dyDescent="0.25">
      <c r="A147" s="24">
        <f t="shared" si="10"/>
        <v>43132</v>
      </c>
      <c r="B147" s="57"/>
      <c r="C147" s="57"/>
      <c r="D147" s="57"/>
      <c r="E147" s="58"/>
      <c r="F147" s="61"/>
      <c r="G147" s="46">
        <f t="shared" si="11"/>
        <v>0</v>
      </c>
      <c r="H147" s="22" t="e">
        <f t="shared" si="12"/>
        <v>#DIV/0!</v>
      </c>
      <c r="I147" s="23">
        <f>'1 - Amortisation'!G118</f>
        <v>224563.72846569482</v>
      </c>
      <c r="J147" s="25">
        <f t="shared" si="13"/>
        <v>324.89188969653333</v>
      </c>
      <c r="K147" s="25">
        <f t="shared" si="16"/>
        <v>224563.72846569482</v>
      </c>
      <c r="M147" s="26" t="e">
        <f t="shared" si="14"/>
        <v>#DIV/0!</v>
      </c>
      <c r="N147" s="1">
        <f t="shared" si="8"/>
        <v>0</v>
      </c>
      <c r="O147" s="44">
        <f t="shared" si="15"/>
        <v>0</v>
      </c>
    </row>
    <row r="148" spans="1:15" x14ac:dyDescent="0.25">
      <c r="A148" s="24">
        <f t="shared" si="10"/>
        <v>43160</v>
      </c>
      <c r="B148" s="57"/>
      <c r="C148" s="57"/>
      <c r="D148" s="57"/>
      <c r="E148" s="58"/>
      <c r="F148" s="61"/>
      <c r="G148" s="46">
        <f t="shared" si="11"/>
        <v>0</v>
      </c>
      <c r="H148" s="22" t="e">
        <f t="shared" si="12"/>
        <v>#DIV/0!</v>
      </c>
      <c r="I148" s="23">
        <f>'1 - Amortisation'!G119</f>
        <v>224236.39988682559</v>
      </c>
      <c r="J148" s="25">
        <f t="shared" si="13"/>
        <v>327.32857886923011</v>
      </c>
      <c r="K148" s="25">
        <f t="shared" si="16"/>
        <v>224236.39988682559</v>
      </c>
      <c r="M148" s="26" t="e">
        <f t="shared" si="14"/>
        <v>#DIV/0!</v>
      </c>
      <c r="N148" s="1">
        <f t="shared" si="8"/>
        <v>0</v>
      </c>
      <c r="O148" s="44">
        <f t="shared" si="15"/>
        <v>0</v>
      </c>
    </row>
    <row r="149" spans="1:15" x14ac:dyDescent="0.25">
      <c r="A149" s="24">
        <f t="shared" si="10"/>
        <v>43191</v>
      </c>
      <c r="B149" s="57"/>
      <c r="C149" s="57"/>
      <c r="D149" s="57"/>
      <c r="E149" s="58"/>
      <c r="F149" s="61"/>
      <c r="G149" s="46">
        <f t="shared" si="11"/>
        <v>0</v>
      </c>
      <c r="H149" s="22" t="e">
        <f t="shared" si="12"/>
        <v>#DIV/0!</v>
      </c>
      <c r="I149" s="23">
        <f>'1 - Amortisation'!G120</f>
        <v>223906.61634361482</v>
      </c>
      <c r="J149" s="25">
        <f t="shared" si="13"/>
        <v>329.78354321076768</v>
      </c>
      <c r="K149" s="25">
        <f t="shared" si="16"/>
        <v>223906.61634361482</v>
      </c>
      <c r="M149" s="26" t="e">
        <f t="shared" si="14"/>
        <v>#DIV/0!</v>
      </c>
      <c r="N149" s="1">
        <f t="shared" si="8"/>
        <v>0</v>
      </c>
      <c r="O149" s="44">
        <f t="shared" si="15"/>
        <v>0</v>
      </c>
    </row>
    <row r="150" spans="1:15" x14ac:dyDescent="0.25">
      <c r="A150" s="24">
        <f t="shared" si="10"/>
        <v>43221</v>
      </c>
      <c r="B150" s="57"/>
      <c r="C150" s="57"/>
      <c r="D150" s="57"/>
      <c r="E150" s="58"/>
      <c r="F150" s="61"/>
      <c r="G150" s="46">
        <f t="shared" si="11"/>
        <v>0</v>
      </c>
      <c r="H150" s="22" t="e">
        <f t="shared" si="12"/>
        <v>#DIV/0!</v>
      </c>
      <c r="I150" s="23">
        <f>'1 - Amortisation'!G121</f>
        <v>223574.35942382997</v>
      </c>
      <c r="J150" s="25">
        <f t="shared" si="13"/>
        <v>332.25691978484974</v>
      </c>
      <c r="K150" s="25">
        <f t="shared" si="16"/>
        <v>223574.35942382997</v>
      </c>
      <c r="M150" s="26" t="e">
        <f t="shared" si="14"/>
        <v>#DIV/0!</v>
      </c>
      <c r="N150" s="1">
        <f t="shared" si="8"/>
        <v>0</v>
      </c>
      <c r="O150" s="44">
        <f t="shared" si="15"/>
        <v>0</v>
      </c>
    </row>
    <row r="151" spans="1:15" x14ac:dyDescent="0.25">
      <c r="A151" s="24">
        <f t="shared" si="10"/>
        <v>43252</v>
      </c>
      <c r="B151" s="57"/>
      <c r="C151" s="57"/>
      <c r="D151" s="57"/>
      <c r="E151" s="58"/>
      <c r="F151" s="61"/>
      <c r="G151" s="46">
        <f t="shared" si="11"/>
        <v>0</v>
      </c>
      <c r="H151" s="22" t="e">
        <f t="shared" si="12"/>
        <v>#DIV/0!</v>
      </c>
      <c r="I151" s="23">
        <f>'1 - Amortisation'!G122</f>
        <v>223239.61057714673</v>
      </c>
      <c r="J151" s="25">
        <f t="shared" si="13"/>
        <v>334.74884668324376</v>
      </c>
      <c r="K151" s="25">
        <f t="shared" si="16"/>
        <v>223239.61057714673</v>
      </c>
      <c r="M151" s="26" t="e">
        <f t="shared" si="14"/>
        <v>#DIV/0!</v>
      </c>
      <c r="N151" s="1">
        <f t="shared" si="8"/>
        <v>0</v>
      </c>
      <c r="O151" s="44">
        <f t="shared" si="15"/>
        <v>0</v>
      </c>
    </row>
    <row r="152" spans="1:15" x14ac:dyDescent="0.25">
      <c r="A152" s="24">
        <f t="shared" si="10"/>
        <v>43282</v>
      </c>
      <c r="B152" s="62"/>
      <c r="C152" s="62"/>
      <c r="D152" s="62"/>
      <c r="E152" s="61"/>
      <c r="F152" s="61"/>
      <c r="G152" s="46">
        <f t="shared" si="11"/>
        <v>0</v>
      </c>
      <c r="H152" s="22" t="e">
        <f t="shared" si="12"/>
        <v>#DIV/0!</v>
      </c>
      <c r="I152" s="23">
        <f>'1 - Amortisation'!G123</f>
        <v>222902.35111411338</v>
      </c>
      <c r="J152" s="25">
        <f t="shared" si="13"/>
        <v>337.25946303334786</v>
      </c>
      <c r="K152" s="25">
        <f t="shared" si="16"/>
        <v>222902.35111411338</v>
      </c>
      <c r="M152" s="26" t="e">
        <f t="shared" si="14"/>
        <v>#DIV/0!</v>
      </c>
      <c r="N152" s="1">
        <f t="shared" ref="N152:N215" si="17">IF(F152&gt;0,F151-F152,0)</f>
        <v>0</v>
      </c>
      <c r="O152" s="44">
        <f t="shared" si="15"/>
        <v>0</v>
      </c>
    </row>
    <row r="153" spans="1:15" x14ac:dyDescent="0.25">
      <c r="A153" s="24">
        <f t="shared" si="10"/>
        <v>43313</v>
      </c>
      <c r="B153" s="62"/>
      <c r="C153" s="62"/>
      <c r="D153" s="62"/>
      <c r="E153" s="61"/>
      <c r="F153" s="61"/>
      <c r="G153" s="46">
        <f t="shared" si="11"/>
        <v>0</v>
      </c>
      <c r="H153" s="22" t="e">
        <f t="shared" si="12"/>
        <v>#DIV/0!</v>
      </c>
      <c r="I153" s="23">
        <f>'1 - Amortisation'!G124</f>
        <v>222562.56220510727</v>
      </c>
      <c r="J153" s="25">
        <f t="shared" si="13"/>
        <v>339.78890900610713</v>
      </c>
      <c r="K153" s="25">
        <f t="shared" si="16"/>
        <v>222562.56220510727</v>
      </c>
      <c r="M153" s="26" t="e">
        <f t="shared" si="14"/>
        <v>#DIV/0!</v>
      </c>
      <c r="N153" s="1">
        <f t="shared" si="17"/>
        <v>0</v>
      </c>
      <c r="O153" s="44">
        <f t="shared" si="15"/>
        <v>0</v>
      </c>
    </row>
    <row r="154" spans="1:15" x14ac:dyDescent="0.25">
      <c r="A154" s="24">
        <f t="shared" si="10"/>
        <v>43344</v>
      </c>
      <c r="B154" s="62"/>
      <c r="C154" s="62"/>
      <c r="D154" s="62"/>
      <c r="E154" s="61"/>
      <c r="F154" s="61"/>
      <c r="G154" s="46">
        <f t="shared" si="11"/>
        <v>0</v>
      </c>
      <c r="H154" s="22" t="e">
        <f t="shared" si="12"/>
        <v>#DIV/0!</v>
      </c>
      <c r="I154" s="23">
        <f>'1 - Amortisation'!G125</f>
        <v>222220.22487928363</v>
      </c>
      <c r="J154" s="25">
        <f t="shared" si="13"/>
        <v>342.33732582363882</v>
      </c>
      <c r="K154" s="25">
        <f t="shared" si="16"/>
        <v>222220.22487928363</v>
      </c>
      <c r="M154" s="26" t="e">
        <f t="shared" si="14"/>
        <v>#DIV/0!</v>
      </c>
      <c r="N154" s="1">
        <f t="shared" si="17"/>
        <v>0</v>
      </c>
      <c r="O154" s="44">
        <f t="shared" si="15"/>
        <v>0</v>
      </c>
    </row>
    <row r="155" spans="1:15" x14ac:dyDescent="0.25">
      <c r="A155" s="24">
        <f t="shared" si="10"/>
        <v>43374</v>
      </c>
      <c r="B155" s="62"/>
      <c r="C155" s="62"/>
      <c r="D155" s="62"/>
      <c r="E155" s="61"/>
      <c r="F155" s="61"/>
      <c r="G155" s="46">
        <f t="shared" si="11"/>
        <v>0</v>
      </c>
      <c r="H155" s="22" t="e">
        <f t="shared" si="12"/>
        <v>#DIV/0!</v>
      </c>
      <c r="I155" s="23">
        <f>'1 - Amortisation'!G126</f>
        <v>221875.32002351631</v>
      </c>
      <c r="J155" s="25">
        <f t="shared" si="13"/>
        <v>344.90485576732317</v>
      </c>
      <c r="K155" s="25">
        <f t="shared" si="16"/>
        <v>221875.32002351631</v>
      </c>
      <c r="M155" s="26" t="e">
        <f t="shared" si="14"/>
        <v>#DIV/0!</v>
      </c>
      <c r="N155" s="1">
        <f t="shared" si="17"/>
        <v>0</v>
      </c>
      <c r="O155" s="44">
        <f t="shared" si="15"/>
        <v>0</v>
      </c>
    </row>
    <row r="156" spans="1:15" x14ac:dyDescent="0.25">
      <c r="A156" s="24">
        <f t="shared" si="10"/>
        <v>43405</v>
      </c>
      <c r="B156" s="62"/>
      <c r="C156" s="62"/>
      <c r="D156" s="62"/>
      <c r="E156" s="61"/>
      <c r="F156" s="61"/>
      <c r="G156" s="46">
        <f t="shared" si="11"/>
        <v>0</v>
      </c>
      <c r="H156" s="22" t="e">
        <f t="shared" si="12"/>
        <v>#DIV/0!</v>
      </c>
      <c r="I156" s="23">
        <f>'1 - Amortisation'!G127</f>
        <v>221527.82838133074</v>
      </c>
      <c r="J156" s="25">
        <f t="shared" si="13"/>
        <v>347.49164218557416</v>
      </c>
      <c r="K156" s="25">
        <f t="shared" si="16"/>
        <v>221527.82838133074</v>
      </c>
      <c r="M156" s="26" t="e">
        <f t="shared" si="14"/>
        <v>#DIV/0!</v>
      </c>
      <c r="N156" s="1">
        <f t="shared" si="17"/>
        <v>0</v>
      </c>
      <c r="O156" s="44">
        <f t="shared" si="15"/>
        <v>0</v>
      </c>
    </row>
    <row r="157" spans="1:15" x14ac:dyDescent="0.25">
      <c r="A157" s="24">
        <f t="shared" si="10"/>
        <v>43435</v>
      </c>
      <c r="B157" s="62"/>
      <c r="C157" s="62"/>
      <c r="D157" s="62"/>
      <c r="E157" s="61"/>
      <c r="F157" s="61"/>
      <c r="G157" s="46">
        <f t="shared" si="11"/>
        <v>0</v>
      </c>
      <c r="H157" s="22" t="e">
        <f t="shared" si="12"/>
        <v>#DIV/0!</v>
      </c>
      <c r="I157" s="23">
        <f>'1 - Amortisation'!G128</f>
        <v>221177.73055182875</v>
      </c>
      <c r="J157" s="25">
        <f t="shared" si="13"/>
        <v>350.0978295019886</v>
      </c>
      <c r="K157" s="25">
        <f t="shared" si="16"/>
        <v>221177.73055182875</v>
      </c>
      <c r="M157" s="26" t="e">
        <f t="shared" si="14"/>
        <v>#DIV/0!</v>
      </c>
      <c r="N157" s="1">
        <f t="shared" si="17"/>
        <v>0</v>
      </c>
      <c r="O157" s="44">
        <f t="shared" si="15"/>
        <v>0</v>
      </c>
    </row>
    <row r="158" spans="1:15" x14ac:dyDescent="0.25">
      <c r="A158" s="24">
        <f t="shared" si="10"/>
        <v>43466</v>
      </c>
      <c r="B158" s="62"/>
      <c r="C158" s="62"/>
      <c r="D158" s="62"/>
      <c r="E158" s="61"/>
      <c r="F158" s="61"/>
      <c r="G158" s="46">
        <f t="shared" si="11"/>
        <v>0</v>
      </c>
      <c r="H158" s="22" t="e">
        <f t="shared" si="12"/>
        <v>#DIV/0!</v>
      </c>
      <c r="I158" s="23">
        <f>'1 - Amortisation'!G129</f>
        <v>220825.00698860551</v>
      </c>
      <c r="J158" s="25">
        <f t="shared" si="13"/>
        <v>352.72356322323321</v>
      </c>
      <c r="K158" s="25">
        <f t="shared" si="16"/>
        <v>220825.00698860551</v>
      </c>
      <c r="M158" s="26" t="e">
        <f t="shared" si="14"/>
        <v>#DIV/0!</v>
      </c>
      <c r="N158" s="1">
        <f t="shared" si="17"/>
        <v>0</v>
      </c>
      <c r="O158" s="44">
        <f t="shared" si="15"/>
        <v>0</v>
      </c>
    </row>
    <row r="159" spans="1:15" x14ac:dyDescent="0.25">
      <c r="A159" s="24">
        <f t="shared" si="10"/>
        <v>43497</v>
      </c>
      <c r="B159" s="62"/>
      <c r="C159" s="62"/>
      <c r="D159" s="62"/>
      <c r="E159" s="61"/>
      <c r="F159" s="61"/>
      <c r="G159" s="46">
        <f t="shared" si="11"/>
        <v>0</v>
      </c>
      <c r="H159" s="22" t="e">
        <f t="shared" si="12"/>
        <v>#DIV/0!</v>
      </c>
      <c r="I159" s="23">
        <f>'1 - Amortisation'!G130</f>
        <v>220469.63799865809</v>
      </c>
      <c r="J159" s="25">
        <f t="shared" si="13"/>
        <v>355.3689899474266</v>
      </c>
      <c r="K159" s="25">
        <f t="shared" si="16"/>
        <v>220469.63799865809</v>
      </c>
      <c r="M159" s="26" t="e">
        <f t="shared" si="14"/>
        <v>#DIV/0!</v>
      </c>
      <c r="N159" s="1">
        <f t="shared" si="17"/>
        <v>0</v>
      </c>
      <c r="O159" s="44">
        <f t="shared" si="15"/>
        <v>0</v>
      </c>
    </row>
    <row r="160" spans="1:15" x14ac:dyDescent="0.25">
      <c r="A160" s="24">
        <f t="shared" si="10"/>
        <v>43525</v>
      </c>
      <c r="B160" s="62"/>
      <c r="C160" s="62"/>
      <c r="D160" s="62"/>
      <c r="E160" s="61"/>
      <c r="F160" s="61"/>
      <c r="G160" s="46">
        <f t="shared" si="11"/>
        <v>0</v>
      </c>
      <c r="H160" s="22" t="e">
        <f t="shared" si="12"/>
        <v>#DIV/0!</v>
      </c>
      <c r="I160" s="23">
        <f>'1 - Amortisation'!G131</f>
        <v>220111.60374128606</v>
      </c>
      <c r="J160" s="25">
        <f t="shared" si="13"/>
        <v>358.03425737202633</v>
      </c>
      <c r="K160" s="25">
        <f t="shared" si="16"/>
        <v>220111.60374128606</v>
      </c>
      <c r="M160" s="26" t="e">
        <f t="shared" si="14"/>
        <v>#DIV/0!</v>
      </c>
      <c r="N160" s="1">
        <f t="shared" si="17"/>
        <v>0</v>
      </c>
      <c r="O160" s="44">
        <f t="shared" si="15"/>
        <v>0</v>
      </c>
    </row>
    <row r="161" spans="1:15" x14ac:dyDescent="0.25">
      <c r="A161" s="24">
        <f t="shared" ref="A161:A224" si="18">EDATE(A160,1)</f>
        <v>43556</v>
      </c>
      <c r="B161" s="62"/>
      <c r="C161" s="62"/>
      <c r="D161" s="62"/>
      <c r="E161" s="61"/>
      <c r="F161" s="61"/>
      <c r="G161" s="46">
        <f t="shared" ref="G161:G224" si="19">G160+C161</f>
        <v>0</v>
      </c>
      <c r="H161" s="22" t="e">
        <f t="shared" ref="H161:H224" si="20">F161/$F$31</f>
        <v>#DIV/0!</v>
      </c>
      <c r="I161" s="23">
        <f>'1 - Amortisation'!G132</f>
        <v>219750.88422698376</v>
      </c>
      <c r="J161" s="25">
        <f t="shared" ref="J161:J224" si="21">I160-I161</f>
        <v>360.71951430229819</v>
      </c>
      <c r="K161" s="25">
        <f t="shared" si="16"/>
        <v>219750.88422698376</v>
      </c>
      <c r="M161" s="26" t="e">
        <f t="shared" ref="M161:M224" si="22">B161/D161</f>
        <v>#DIV/0!</v>
      </c>
      <c r="N161" s="1">
        <f t="shared" si="17"/>
        <v>0</v>
      </c>
      <c r="O161" s="44">
        <f t="shared" si="15"/>
        <v>0</v>
      </c>
    </row>
    <row r="162" spans="1:15" x14ac:dyDescent="0.25">
      <c r="A162" s="24">
        <f t="shared" si="18"/>
        <v>43586</v>
      </c>
      <c r="B162" s="62"/>
      <c r="C162" s="62"/>
      <c r="D162" s="62"/>
      <c r="E162" s="61"/>
      <c r="F162" s="61"/>
      <c r="G162" s="46">
        <f t="shared" si="19"/>
        <v>0</v>
      </c>
      <c r="H162" s="22" t="e">
        <f t="shared" si="20"/>
        <v>#DIV/0!</v>
      </c>
      <c r="I162" s="23">
        <f>'1 - Amortisation'!G133</f>
        <v>219387.45931632418</v>
      </c>
      <c r="J162" s="25">
        <f t="shared" si="21"/>
        <v>363.42491065958166</v>
      </c>
      <c r="K162" s="25">
        <f t="shared" si="16"/>
        <v>219387.45931632418</v>
      </c>
      <c r="M162" s="26" t="e">
        <f t="shared" si="22"/>
        <v>#DIV/0!</v>
      </c>
      <c r="N162" s="1">
        <f t="shared" si="17"/>
        <v>0</v>
      </c>
      <c r="O162" s="44">
        <f t="shared" si="15"/>
        <v>0</v>
      </c>
    </row>
    <row r="163" spans="1:15" x14ac:dyDescent="0.25">
      <c r="A163" s="24">
        <f t="shared" si="18"/>
        <v>43617</v>
      </c>
      <c r="B163" s="62"/>
      <c r="C163" s="62"/>
      <c r="D163" s="62"/>
      <c r="E163" s="61"/>
      <c r="F163" s="61"/>
      <c r="G163" s="46">
        <f t="shared" si="19"/>
        <v>0</v>
      </c>
      <c r="H163" s="22" t="e">
        <f t="shared" si="20"/>
        <v>#DIV/0!</v>
      </c>
      <c r="I163" s="23">
        <f>'1 - Amortisation'!G134</f>
        <v>219021.30871883465</v>
      </c>
      <c r="J163" s="25">
        <f t="shared" si="21"/>
        <v>366.15059748952626</v>
      </c>
      <c r="K163" s="25">
        <f t="shared" si="16"/>
        <v>219021.30871883465</v>
      </c>
      <c r="M163" s="26" t="e">
        <f t="shared" si="22"/>
        <v>#DIV/0!</v>
      </c>
      <c r="N163" s="1">
        <f t="shared" si="17"/>
        <v>0</v>
      </c>
      <c r="O163" s="44">
        <f t="shared" ref="O163:O226" si="23">F163+G163</f>
        <v>0</v>
      </c>
    </row>
    <row r="164" spans="1:15" x14ac:dyDescent="0.25">
      <c r="A164" s="24">
        <f t="shared" si="18"/>
        <v>43647</v>
      </c>
      <c r="B164" s="62"/>
      <c r="C164" s="62"/>
      <c r="D164" s="62"/>
      <c r="E164" s="61"/>
      <c r="F164" s="61"/>
      <c r="G164" s="46">
        <f t="shared" si="19"/>
        <v>0</v>
      </c>
      <c r="H164" s="22" t="e">
        <f t="shared" si="20"/>
        <v>#DIV/0!</v>
      </c>
      <c r="I164" s="23">
        <f>'1 - Amortisation'!G135</f>
        <v>218652.41199186395</v>
      </c>
      <c r="J164" s="25">
        <f t="shared" si="21"/>
        <v>368.89672697070637</v>
      </c>
      <c r="K164" s="25">
        <f t="shared" si="16"/>
        <v>218652.41199186395</v>
      </c>
      <c r="M164" s="26" t="e">
        <f t="shared" si="22"/>
        <v>#DIV/0!</v>
      </c>
      <c r="N164" s="1">
        <f t="shared" si="17"/>
        <v>0</v>
      </c>
      <c r="O164" s="44">
        <f t="shared" si="23"/>
        <v>0</v>
      </c>
    </row>
    <row r="165" spans="1:15" x14ac:dyDescent="0.25">
      <c r="A165" s="24">
        <f t="shared" si="18"/>
        <v>43678</v>
      </c>
      <c r="B165" s="62"/>
      <c r="C165" s="62"/>
      <c r="D165" s="62"/>
      <c r="E165" s="61"/>
      <c r="F165" s="61"/>
      <c r="G165" s="46">
        <f t="shared" si="19"/>
        <v>0</v>
      </c>
      <c r="H165" s="22" t="e">
        <f t="shared" si="20"/>
        <v>#DIV/0!</v>
      </c>
      <c r="I165" s="23">
        <f>'1 - Amortisation'!G136</f>
        <v>218280.74853944097</v>
      </c>
      <c r="J165" s="25">
        <f t="shared" si="21"/>
        <v>371.66345242297393</v>
      </c>
      <c r="K165" s="25">
        <f t="shared" si="16"/>
        <v>218280.74853944097</v>
      </c>
      <c r="M165" s="26" t="e">
        <f t="shared" si="22"/>
        <v>#DIV/0!</v>
      </c>
      <c r="N165" s="1">
        <f t="shared" si="17"/>
        <v>0</v>
      </c>
      <c r="O165" s="44">
        <f t="shared" si="23"/>
        <v>0</v>
      </c>
    </row>
    <row r="166" spans="1:15" x14ac:dyDescent="0.25">
      <c r="A166" s="24">
        <f t="shared" si="18"/>
        <v>43709</v>
      </c>
      <c r="B166" s="62"/>
      <c r="C166" s="62"/>
      <c r="D166" s="62"/>
      <c r="E166" s="61"/>
      <c r="F166" s="61"/>
      <c r="G166" s="46">
        <f t="shared" si="19"/>
        <v>0</v>
      </c>
      <c r="H166" s="22" t="e">
        <f t="shared" si="20"/>
        <v>#DIV/0!</v>
      </c>
      <c r="I166" s="23">
        <f>'1 - Amortisation'!G137</f>
        <v>217906.29761112481</v>
      </c>
      <c r="J166" s="25">
        <f t="shared" si="21"/>
        <v>374.45092831616057</v>
      </c>
      <c r="K166" s="25">
        <f t="shared" si="16"/>
        <v>217906.29761112481</v>
      </c>
      <c r="M166" s="26" t="e">
        <f t="shared" si="22"/>
        <v>#DIV/0!</v>
      </c>
      <c r="N166" s="1">
        <f t="shared" si="17"/>
        <v>0</v>
      </c>
      <c r="O166" s="44">
        <f t="shared" si="23"/>
        <v>0</v>
      </c>
    </row>
    <row r="167" spans="1:15" x14ac:dyDescent="0.25">
      <c r="A167" s="24">
        <f t="shared" si="18"/>
        <v>43739</v>
      </c>
      <c r="B167" s="62"/>
      <c r="C167" s="62"/>
      <c r="D167" s="62"/>
      <c r="E167" s="61"/>
      <c r="F167" s="61"/>
      <c r="G167" s="46">
        <f t="shared" si="19"/>
        <v>0</v>
      </c>
      <c r="H167" s="22" t="e">
        <f t="shared" si="20"/>
        <v>#DIV/0!</v>
      </c>
      <c r="I167" s="23">
        <f>'1 - Amortisation'!G138</f>
        <v>217529.0383008463</v>
      </c>
      <c r="J167" s="25">
        <f t="shared" si="21"/>
        <v>377.25931027851766</v>
      </c>
      <c r="K167" s="25">
        <f t="shared" si="16"/>
        <v>217529.0383008463</v>
      </c>
      <c r="M167" s="26" t="e">
        <f t="shared" si="22"/>
        <v>#DIV/0!</v>
      </c>
      <c r="N167" s="1">
        <f t="shared" si="17"/>
        <v>0</v>
      </c>
      <c r="O167" s="44">
        <f t="shared" si="23"/>
        <v>0</v>
      </c>
    </row>
    <row r="168" spans="1:15" x14ac:dyDescent="0.25">
      <c r="A168" s="24">
        <f t="shared" si="18"/>
        <v>43770</v>
      </c>
      <c r="B168" s="62"/>
      <c r="C168" s="62"/>
      <c r="D168" s="62"/>
      <c r="E168" s="61"/>
      <c r="F168" s="61"/>
      <c r="G168" s="46">
        <f t="shared" si="19"/>
        <v>0</v>
      </c>
      <c r="H168" s="22" t="e">
        <f t="shared" si="20"/>
        <v>#DIV/0!</v>
      </c>
      <c r="I168" s="23">
        <f>'1 - Amortisation'!G139</f>
        <v>217148.94954574067</v>
      </c>
      <c r="J168" s="25">
        <f t="shared" si="21"/>
        <v>380.08875510562211</v>
      </c>
      <c r="K168" s="25">
        <f t="shared" si="16"/>
        <v>217148.94954574067</v>
      </c>
      <c r="M168" s="26" t="e">
        <f t="shared" si="22"/>
        <v>#DIV/0!</v>
      </c>
      <c r="N168" s="1">
        <f t="shared" si="17"/>
        <v>0</v>
      </c>
      <c r="O168" s="44">
        <f t="shared" si="23"/>
        <v>0</v>
      </c>
    </row>
    <row r="169" spans="1:15" x14ac:dyDescent="0.25">
      <c r="A169" s="24">
        <f t="shared" si="18"/>
        <v>43800</v>
      </c>
      <c r="B169" s="62"/>
      <c r="C169" s="62"/>
      <c r="D169" s="62"/>
      <c r="E169" s="61"/>
      <c r="F169" s="61"/>
      <c r="G169" s="46">
        <f t="shared" si="19"/>
        <v>0</v>
      </c>
      <c r="H169" s="22" t="e">
        <f t="shared" si="20"/>
        <v>#DIV/0!</v>
      </c>
      <c r="I169" s="23">
        <f>'1 - Amortisation'!G140</f>
        <v>216766.01012497177</v>
      </c>
      <c r="J169" s="25">
        <f t="shared" si="21"/>
        <v>382.9394207689038</v>
      </c>
      <c r="K169" s="25">
        <f t="shared" si="16"/>
        <v>216766.01012497177</v>
      </c>
      <c r="M169" s="26" t="e">
        <f t="shared" si="22"/>
        <v>#DIV/0!</v>
      </c>
      <c r="N169" s="1">
        <f t="shared" si="17"/>
        <v>0</v>
      </c>
      <c r="O169" s="44">
        <f t="shared" si="23"/>
        <v>0</v>
      </c>
    </row>
    <row r="170" spans="1:15" x14ac:dyDescent="0.25">
      <c r="A170" s="24">
        <f t="shared" si="18"/>
        <v>43831</v>
      </c>
      <c r="B170" s="62"/>
      <c r="C170" s="62"/>
      <c r="D170" s="62"/>
      <c r="E170" s="61"/>
      <c r="F170" s="61"/>
      <c r="G170" s="46">
        <f t="shared" si="19"/>
        <v>0</v>
      </c>
      <c r="H170" s="22" t="e">
        <f t="shared" si="20"/>
        <v>#DIV/0!</v>
      </c>
      <c r="I170" s="23">
        <f>'1 - Amortisation'!G141</f>
        <v>216380.1986585471</v>
      </c>
      <c r="J170" s="25">
        <f t="shared" si="21"/>
        <v>385.81146642466774</v>
      </c>
      <c r="K170" s="25">
        <f t="shared" si="16"/>
        <v>216380.1986585471</v>
      </c>
      <c r="M170" s="26" t="e">
        <f t="shared" si="22"/>
        <v>#DIV/0!</v>
      </c>
      <c r="N170" s="1">
        <f t="shared" si="17"/>
        <v>0</v>
      </c>
      <c r="O170" s="44">
        <f t="shared" si="23"/>
        <v>0</v>
      </c>
    </row>
    <row r="171" spans="1:15" x14ac:dyDescent="0.25">
      <c r="A171" s="24">
        <f t="shared" si="18"/>
        <v>43862</v>
      </c>
      <c r="B171" s="62"/>
      <c r="C171" s="62"/>
      <c r="D171" s="62"/>
      <c r="E171" s="61"/>
      <c r="F171" s="61"/>
      <c r="G171" s="46">
        <f t="shared" si="19"/>
        <v>0</v>
      </c>
      <c r="H171" s="22" t="e">
        <f t="shared" si="20"/>
        <v>#DIV/0!</v>
      </c>
      <c r="I171" s="23">
        <f>'1 - Amortisation'!G142</f>
        <v>215991.49360612425</v>
      </c>
      <c r="J171" s="25">
        <f t="shared" si="21"/>
        <v>388.70505242285435</v>
      </c>
      <c r="K171" s="25">
        <f t="shared" si="16"/>
        <v>215991.49360612425</v>
      </c>
      <c r="M171" s="26" t="e">
        <f t="shared" si="22"/>
        <v>#DIV/0!</v>
      </c>
      <c r="N171" s="1">
        <f t="shared" si="17"/>
        <v>0</v>
      </c>
      <c r="O171" s="44">
        <f t="shared" si="23"/>
        <v>0</v>
      </c>
    </row>
    <row r="172" spans="1:15" x14ac:dyDescent="0.25">
      <c r="A172" s="24">
        <f t="shared" si="18"/>
        <v>43891</v>
      </c>
      <c r="B172" s="62"/>
      <c r="C172" s="62"/>
      <c r="D172" s="62"/>
      <c r="E172" s="61"/>
      <c r="F172" s="61"/>
      <c r="G172" s="46">
        <f t="shared" si="19"/>
        <v>0</v>
      </c>
      <c r="H172" s="22" t="e">
        <f t="shared" si="20"/>
        <v>#DIV/0!</v>
      </c>
      <c r="I172" s="23">
        <f>'1 - Amortisation'!G143</f>
        <v>215599.87326580822</v>
      </c>
      <c r="J172" s="25">
        <f t="shared" si="21"/>
        <v>391.62034031603253</v>
      </c>
      <c r="K172" s="25">
        <f t="shared" si="16"/>
        <v>215599.87326580822</v>
      </c>
      <c r="M172" s="26" t="e">
        <f t="shared" si="22"/>
        <v>#DIV/0!</v>
      </c>
      <c r="N172" s="1">
        <f t="shared" si="17"/>
        <v>0</v>
      </c>
      <c r="O172" s="44">
        <f t="shared" si="23"/>
        <v>0</v>
      </c>
    </row>
    <row r="173" spans="1:15" x14ac:dyDescent="0.25">
      <c r="A173" s="24">
        <f t="shared" si="18"/>
        <v>43922</v>
      </c>
      <c r="B173" s="62"/>
      <c r="C173" s="62"/>
      <c r="D173" s="62"/>
      <c r="E173" s="61"/>
      <c r="F173" s="61"/>
      <c r="G173" s="46">
        <f t="shared" si="19"/>
        <v>0</v>
      </c>
      <c r="H173" s="22" t="e">
        <f t="shared" si="20"/>
        <v>#DIV/0!</v>
      </c>
      <c r="I173" s="23">
        <f>'1 - Amortisation'!G144</f>
        <v>215205.31577293982</v>
      </c>
      <c r="J173" s="25">
        <f t="shared" si="21"/>
        <v>394.55749286839273</v>
      </c>
      <c r="K173" s="25">
        <f t="shared" si="16"/>
        <v>215205.31577293982</v>
      </c>
      <c r="M173" s="26" t="e">
        <f t="shared" si="22"/>
        <v>#DIV/0!</v>
      </c>
      <c r="N173" s="1">
        <f t="shared" si="17"/>
        <v>0</v>
      </c>
      <c r="O173" s="44">
        <f t="shared" si="23"/>
        <v>0</v>
      </c>
    </row>
    <row r="174" spans="1:15" x14ac:dyDescent="0.25">
      <c r="A174" s="24">
        <f t="shared" si="18"/>
        <v>43952</v>
      </c>
      <c r="B174" s="62"/>
      <c r="C174" s="62"/>
      <c r="D174" s="62"/>
      <c r="E174" s="61"/>
      <c r="F174" s="61"/>
      <c r="G174" s="46">
        <f t="shared" si="19"/>
        <v>0</v>
      </c>
      <c r="H174" s="22" t="e">
        <f t="shared" si="20"/>
        <v>#DIV/0!</v>
      </c>
      <c r="I174" s="23">
        <f>'1 - Amortisation'!G145</f>
        <v>214807.79909887491</v>
      </c>
      <c r="J174" s="25">
        <f t="shared" si="21"/>
        <v>397.5166740649147</v>
      </c>
      <c r="K174" s="25">
        <f t="shared" si="16"/>
        <v>214807.79909887491</v>
      </c>
      <c r="M174" s="26" t="e">
        <f t="shared" si="22"/>
        <v>#DIV/0!</v>
      </c>
      <c r="N174" s="1">
        <f t="shared" si="17"/>
        <v>0</v>
      </c>
      <c r="O174" s="44">
        <f t="shared" si="23"/>
        <v>0</v>
      </c>
    </row>
    <row r="175" spans="1:15" x14ac:dyDescent="0.25">
      <c r="A175" s="24">
        <f t="shared" si="18"/>
        <v>43983</v>
      </c>
      <c r="B175" s="62"/>
      <c r="C175" s="62"/>
      <c r="D175" s="62"/>
      <c r="E175" s="61"/>
      <c r="F175" s="61"/>
      <c r="G175" s="46">
        <f t="shared" si="19"/>
        <v>0</v>
      </c>
      <c r="H175" s="22" t="e">
        <f t="shared" si="20"/>
        <v>#DIV/0!</v>
      </c>
      <c r="I175" s="23">
        <f>'1 - Amortisation'!G146</f>
        <v>214407.30104975452</v>
      </c>
      <c r="J175" s="25">
        <f t="shared" si="21"/>
        <v>400.49804912038962</v>
      </c>
      <c r="K175" s="25">
        <f t="shared" si="16"/>
        <v>214407.30104975452</v>
      </c>
      <c r="M175" s="26" t="e">
        <f t="shared" si="22"/>
        <v>#DIV/0!</v>
      </c>
      <c r="N175" s="1">
        <f t="shared" si="17"/>
        <v>0</v>
      </c>
      <c r="O175" s="44">
        <f t="shared" si="23"/>
        <v>0</v>
      </c>
    </row>
    <row r="176" spans="1:15" x14ac:dyDescent="0.25">
      <c r="A176" s="24">
        <f t="shared" si="18"/>
        <v>44013</v>
      </c>
      <c r="B176" s="62"/>
      <c r="C176" s="62"/>
      <c r="D176" s="62"/>
      <c r="E176" s="61"/>
      <c r="F176" s="61"/>
      <c r="G176" s="46">
        <f t="shared" si="19"/>
        <v>0</v>
      </c>
      <c r="H176" s="22" t="e">
        <f t="shared" si="20"/>
        <v>#DIV/0!</v>
      </c>
      <c r="I176" s="23">
        <f>'1 - Amortisation'!G147</f>
        <v>214003.79926526573</v>
      </c>
      <c r="J176" s="25">
        <f t="shared" si="21"/>
        <v>403.5017844887916</v>
      </c>
      <c r="K176" s="25">
        <f t="shared" si="16"/>
        <v>214003.79926526573</v>
      </c>
      <c r="M176" s="26" t="e">
        <f t="shared" si="22"/>
        <v>#DIV/0!</v>
      </c>
      <c r="N176" s="1">
        <f t="shared" si="17"/>
        <v>0</v>
      </c>
      <c r="O176" s="44">
        <f t="shared" si="23"/>
        <v>0</v>
      </c>
    </row>
    <row r="177" spans="1:15" x14ac:dyDescent="0.25">
      <c r="A177" s="24">
        <f t="shared" si="18"/>
        <v>44044</v>
      </c>
      <c r="B177" s="62"/>
      <c r="C177" s="62"/>
      <c r="D177" s="62"/>
      <c r="E177" s="61"/>
      <c r="F177" s="61"/>
      <c r="G177" s="46">
        <f t="shared" si="19"/>
        <v>0</v>
      </c>
      <c r="H177" s="22" t="e">
        <f t="shared" si="20"/>
        <v>#DIV/0!</v>
      </c>
      <c r="I177" s="23">
        <f>'1 - Amortisation'!G148</f>
        <v>213597.27121739325</v>
      </c>
      <c r="J177" s="25">
        <f t="shared" si="21"/>
        <v>406.52804787247442</v>
      </c>
      <c r="K177" s="25">
        <f t="shared" si="16"/>
        <v>213597.27121739325</v>
      </c>
      <c r="M177" s="26" t="e">
        <f t="shared" si="22"/>
        <v>#DIV/0!</v>
      </c>
      <c r="N177" s="1">
        <f t="shared" si="17"/>
        <v>0</v>
      </c>
      <c r="O177" s="44">
        <f t="shared" si="23"/>
        <v>0</v>
      </c>
    </row>
    <row r="178" spans="1:15" x14ac:dyDescent="0.25">
      <c r="A178" s="24">
        <f t="shared" si="18"/>
        <v>44075</v>
      </c>
      <c r="B178" s="62"/>
      <c r="C178" s="62"/>
      <c r="D178" s="62"/>
      <c r="E178" s="61"/>
      <c r="F178" s="61"/>
      <c r="G178" s="46">
        <f t="shared" si="19"/>
        <v>0</v>
      </c>
      <c r="H178" s="22" t="e">
        <f t="shared" si="20"/>
        <v>#DIV/0!</v>
      </c>
      <c r="I178" s="23">
        <f>'1 - Amortisation'!G149</f>
        <v>213187.69420916174</v>
      </c>
      <c r="J178" s="25">
        <f t="shared" si="21"/>
        <v>409.5770082315139</v>
      </c>
      <c r="K178" s="25">
        <f t="shared" si="16"/>
        <v>213187.69420916174</v>
      </c>
      <c r="M178" s="26" t="e">
        <f t="shared" si="22"/>
        <v>#DIV/0!</v>
      </c>
      <c r="N178" s="1">
        <f t="shared" si="17"/>
        <v>0</v>
      </c>
      <c r="O178" s="44">
        <f t="shared" si="23"/>
        <v>0</v>
      </c>
    </row>
    <row r="179" spans="1:15" x14ac:dyDescent="0.25">
      <c r="A179" s="24">
        <f t="shared" si="18"/>
        <v>44105</v>
      </c>
      <c r="B179" s="62"/>
      <c r="C179" s="62"/>
      <c r="D179" s="62"/>
      <c r="E179" s="61"/>
      <c r="F179" s="61"/>
      <c r="G179" s="46">
        <f t="shared" si="19"/>
        <v>0</v>
      </c>
      <c r="H179" s="22" t="e">
        <f t="shared" si="20"/>
        <v>#DIV/0!</v>
      </c>
      <c r="I179" s="23">
        <f>'1 - Amortisation'!G150</f>
        <v>212775.04537336848</v>
      </c>
      <c r="J179" s="25">
        <f t="shared" si="21"/>
        <v>412.64883579325397</v>
      </c>
      <c r="K179" s="25">
        <f t="shared" si="16"/>
        <v>212775.04537336848</v>
      </c>
      <c r="M179" s="26" t="e">
        <f t="shared" si="22"/>
        <v>#DIV/0!</v>
      </c>
      <c r="N179" s="1">
        <f t="shared" si="17"/>
        <v>0</v>
      </c>
      <c r="O179" s="44">
        <f t="shared" si="23"/>
        <v>0</v>
      </c>
    </row>
    <row r="180" spans="1:15" x14ac:dyDescent="0.25">
      <c r="A180" s="24">
        <f t="shared" si="18"/>
        <v>44136</v>
      </c>
      <c r="B180" s="62"/>
      <c r="C180" s="62"/>
      <c r="D180" s="62"/>
      <c r="E180" s="61"/>
      <c r="F180" s="61"/>
      <c r="G180" s="46">
        <f t="shared" si="19"/>
        <v>0</v>
      </c>
      <c r="H180" s="22" t="e">
        <f t="shared" si="20"/>
        <v>#DIV/0!</v>
      </c>
      <c r="I180" s="23">
        <f>'1 - Amortisation'!G151</f>
        <v>212359.30167130681</v>
      </c>
      <c r="J180" s="25">
        <f t="shared" si="21"/>
        <v>415.74370206167805</v>
      </c>
      <c r="K180" s="25">
        <f t="shared" si="16"/>
        <v>212359.30167130681</v>
      </c>
      <c r="M180" s="26" t="e">
        <f t="shared" si="22"/>
        <v>#DIV/0!</v>
      </c>
      <c r="N180" s="1">
        <f t="shared" si="17"/>
        <v>0</v>
      </c>
      <c r="O180" s="44">
        <f t="shared" si="23"/>
        <v>0</v>
      </c>
    </row>
    <row r="181" spans="1:15" x14ac:dyDescent="0.25">
      <c r="A181" s="24">
        <f t="shared" si="18"/>
        <v>44166</v>
      </c>
      <c r="B181" s="62"/>
      <c r="C181" s="62"/>
      <c r="D181" s="62"/>
      <c r="E181" s="61"/>
      <c r="F181" s="61"/>
      <c r="G181" s="46">
        <f t="shared" si="19"/>
        <v>0</v>
      </c>
      <c r="H181" s="22" t="e">
        <f t="shared" si="20"/>
        <v>#DIV/0!</v>
      </c>
      <c r="I181" s="23">
        <f>'1 - Amortisation'!G152</f>
        <v>211940.43989147965</v>
      </c>
      <c r="J181" s="25">
        <f t="shared" si="21"/>
        <v>418.8617798271589</v>
      </c>
      <c r="K181" s="25">
        <f t="shared" ref="K181:K244" si="24">I181-F181</f>
        <v>211940.43989147965</v>
      </c>
      <c r="M181" s="26" t="e">
        <f t="shared" si="22"/>
        <v>#DIV/0!</v>
      </c>
      <c r="N181" s="1">
        <f t="shared" si="17"/>
        <v>0</v>
      </c>
      <c r="O181" s="44">
        <f t="shared" si="23"/>
        <v>0</v>
      </c>
    </row>
    <row r="182" spans="1:15" x14ac:dyDescent="0.25">
      <c r="A182" s="24">
        <f t="shared" si="18"/>
        <v>44197</v>
      </c>
      <c r="B182" s="62"/>
      <c r="C182" s="62"/>
      <c r="D182" s="62"/>
      <c r="E182" s="61"/>
      <c r="F182" s="61"/>
      <c r="G182" s="46">
        <f t="shared" si="19"/>
        <v>0</v>
      </c>
      <c r="H182" s="22" t="e">
        <f t="shared" si="20"/>
        <v>#DIV/0!</v>
      </c>
      <c r="I182" s="23">
        <f>'1 - Amortisation'!G153</f>
        <v>211518.43664830379</v>
      </c>
      <c r="J182" s="25">
        <f t="shared" si="21"/>
        <v>422.0032431758591</v>
      </c>
      <c r="K182" s="25">
        <f t="shared" si="24"/>
        <v>211518.43664830379</v>
      </c>
      <c r="M182" s="26" t="e">
        <f t="shared" si="22"/>
        <v>#DIV/0!</v>
      </c>
      <c r="N182" s="1">
        <f t="shared" si="17"/>
        <v>0</v>
      </c>
      <c r="O182" s="44">
        <f t="shared" si="23"/>
        <v>0</v>
      </c>
    </row>
    <row r="183" spans="1:15" x14ac:dyDescent="0.25">
      <c r="A183" s="24">
        <f t="shared" si="18"/>
        <v>44228</v>
      </c>
      <c r="B183" s="62"/>
      <c r="C183" s="62"/>
      <c r="D183" s="62"/>
      <c r="E183" s="61"/>
      <c r="F183" s="61"/>
      <c r="G183" s="46">
        <f t="shared" si="19"/>
        <v>0</v>
      </c>
      <c r="H183" s="22" t="e">
        <f t="shared" si="20"/>
        <v>#DIV/0!</v>
      </c>
      <c r="I183" s="23">
        <f>'1 - Amortisation'!G154</f>
        <v>211093.2683808041</v>
      </c>
      <c r="J183" s="25">
        <f t="shared" si="21"/>
        <v>425.16826749968459</v>
      </c>
      <c r="K183" s="25">
        <f t="shared" si="24"/>
        <v>211093.2683808041</v>
      </c>
      <c r="M183" s="26" t="e">
        <f t="shared" si="22"/>
        <v>#DIV/0!</v>
      </c>
      <c r="N183" s="1">
        <f t="shared" si="17"/>
        <v>0</v>
      </c>
      <c r="O183" s="44">
        <f t="shared" si="23"/>
        <v>0</v>
      </c>
    </row>
    <row r="184" spans="1:15" x14ac:dyDescent="0.25">
      <c r="A184" s="24">
        <f t="shared" si="18"/>
        <v>44256</v>
      </c>
      <c r="B184" s="62"/>
      <c r="C184" s="62"/>
      <c r="D184" s="62"/>
      <c r="E184" s="61"/>
      <c r="F184" s="61"/>
      <c r="G184" s="46">
        <f t="shared" si="19"/>
        <v>0</v>
      </c>
      <c r="H184" s="22" t="e">
        <f t="shared" si="20"/>
        <v>#DIV/0!</v>
      </c>
      <c r="I184" s="23">
        <f>'1 - Amortisation'!G155</f>
        <v>210664.91135129819</v>
      </c>
      <c r="J184" s="25">
        <f t="shared" si="21"/>
        <v>428.35702950591804</v>
      </c>
      <c r="K184" s="25">
        <f t="shared" si="24"/>
        <v>210664.91135129819</v>
      </c>
      <c r="M184" s="26" t="e">
        <f t="shared" si="22"/>
        <v>#DIV/0!</v>
      </c>
      <c r="N184" s="1">
        <f t="shared" si="17"/>
        <v>0</v>
      </c>
      <c r="O184" s="44">
        <f t="shared" si="23"/>
        <v>0</v>
      </c>
    </row>
    <row r="185" spans="1:15" x14ac:dyDescent="0.25">
      <c r="A185" s="24">
        <f t="shared" si="18"/>
        <v>44287</v>
      </c>
      <c r="B185" s="62"/>
      <c r="C185" s="62"/>
      <c r="D185" s="62"/>
      <c r="E185" s="61"/>
      <c r="F185" s="61"/>
      <c r="G185" s="46">
        <f t="shared" si="19"/>
        <v>0</v>
      </c>
      <c r="H185" s="22" t="e">
        <f t="shared" si="20"/>
        <v>#DIV/0!</v>
      </c>
      <c r="I185" s="23">
        <f>'1 - Amortisation'!G156</f>
        <v>210233.34164407096</v>
      </c>
      <c r="J185" s="25">
        <f t="shared" si="21"/>
        <v>431.56970722723054</v>
      </c>
      <c r="K185" s="25">
        <f t="shared" si="24"/>
        <v>210233.34164407096</v>
      </c>
      <c r="M185" s="26" t="e">
        <f t="shared" si="22"/>
        <v>#DIV/0!</v>
      </c>
      <c r="N185" s="1">
        <f t="shared" si="17"/>
        <v>0</v>
      </c>
      <c r="O185" s="44">
        <f t="shared" si="23"/>
        <v>0</v>
      </c>
    </row>
    <row r="186" spans="1:15" x14ac:dyDescent="0.25">
      <c r="A186" s="24">
        <f t="shared" si="18"/>
        <v>44317</v>
      </c>
      <c r="B186" s="62"/>
      <c r="C186" s="62"/>
      <c r="D186" s="62"/>
      <c r="E186" s="61"/>
      <c r="F186" s="61"/>
      <c r="G186" s="46">
        <f t="shared" si="19"/>
        <v>0</v>
      </c>
      <c r="H186" s="22" t="e">
        <f t="shared" si="20"/>
        <v>#DIV/0!</v>
      </c>
      <c r="I186" s="23">
        <f>'1 - Amortisation'!G157</f>
        <v>209798.53516403952</v>
      </c>
      <c r="J186" s="25">
        <f t="shared" si="21"/>
        <v>434.80648003143142</v>
      </c>
      <c r="K186" s="25">
        <f t="shared" si="24"/>
        <v>209798.53516403952</v>
      </c>
      <c r="M186" s="26" t="e">
        <f t="shared" si="22"/>
        <v>#DIV/0!</v>
      </c>
      <c r="N186" s="1">
        <f t="shared" si="17"/>
        <v>0</v>
      </c>
      <c r="O186" s="44">
        <f t="shared" si="23"/>
        <v>0</v>
      </c>
    </row>
    <row r="187" spans="1:15" x14ac:dyDescent="0.25">
      <c r="A187" s="24">
        <f t="shared" si="18"/>
        <v>44348</v>
      </c>
      <c r="B187" s="62"/>
      <c r="C187" s="62"/>
      <c r="D187" s="62"/>
      <c r="E187" s="61"/>
      <c r="F187" s="61"/>
      <c r="G187" s="46">
        <f t="shared" si="19"/>
        <v>0</v>
      </c>
      <c r="H187" s="22" t="e">
        <f t="shared" si="20"/>
        <v>#DIV/0!</v>
      </c>
      <c r="I187" s="23">
        <f>'1 - Amortisation'!G158</f>
        <v>209360.46763540787</v>
      </c>
      <c r="J187" s="25">
        <f t="shared" si="21"/>
        <v>438.06752863165457</v>
      </c>
      <c r="K187" s="25">
        <f t="shared" si="24"/>
        <v>209360.46763540787</v>
      </c>
      <c r="M187" s="26" t="e">
        <f t="shared" si="22"/>
        <v>#DIV/0!</v>
      </c>
      <c r="N187" s="1">
        <f t="shared" si="17"/>
        <v>0</v>
      </c>
      <c r="O187" s="44">
        <f t="shared" si="23"/>
        <v>0</v>
      </c>
    </row>
    <row r="188" spans="1:15" x14ac:dyDescent="0.25">
      <c r="A188" s="24">
        <f t="shared" si="18"/>
        <v>44378</v>
      </c>
      <c r="B188" s="62"/>
      <c r="C188" s="62"/>
      <c r="D188" s="62"/>
      <c r="E188" s="61"/>
      <c r="F188" s="61"/>
      <c r="G188" s="46">
        <f t="shared" si="19"/>
        <v>0</v>
      </c>
      <c r="H188" s="22" t="e">
        <f t="shared" si="20"/>
        <v>#DIV/0!</v>
      </c>
      <c r="I188" s="23">
        <f>'1 - Amortisation'!G159</f>
        <v>208919.11460031147</v>
      </c>
      <c r="J188" s="25">
        <f t="shared" si="21"/>
        <v>441.35303509639925</v>
      </c>
      <c r="K188" s="25">
        <f t="shared" si="24"/>
        <v>208919.11460031147</v>
      </c>
      <c r="M188" s="26" t="e">
        <f t="shared" si="22"/>
        <v>#DIV/0!</v>
      </c>
      <c r="N188" s="1">
        <f t="shared" si="17"/>
        <v>0</v>
      </c>
      <c r="O188" s="44">
        <f t="shared" si="23"/>
        <v>0</v>
      </c>
    </row>
    <row r="189" spans="1:15" x14ac:dyDescent="0.25">
      <c r="A189" s="24">
        <f t="shared" si="18"/>
        <v>44409</v>
      </c>
      <c r="B189" s="62"/>
      <c r="C189" s="62"/>
      <c r="D189" s="62"/>
      <c r="E189" s="61"/>
      <c r="F189" s="61"/>
      <c r="G189" s="46">
        <f t="shared" si="19"/>
        <v>0</v>
      </c>
      <c r="H189" s="22" t="e">
        <f t="shared" si="20"/>
        <v>#DIV/0!</v>
      </c>
      <c r="I189" s="23">
        <f>'1 - Amortisation'!G160</f>
        <v>208474.45141745184</v>
      </c>
      <c r="J189" s="25">
        <f t="shared" si="21"/>
        <v>444.66318285962916</v>
      </c>
      <c r="K189" s="25">
        <f t="shared" si="24"/>
        <v>208474.45141745184</v>
      </c>
      <c r="M189" s="26" t="e">
        <f t="shared" si="22"/>
        <v>#DIV/0!</v>
      </c>
      <c r="N189" s="1">
        <f t="shared" si="17"/>
        <v>0</v>
      </c>
      <c r="O189" s="44">
        <f t="shared" si="23"/>
        <v>0</v>
      </c>
    </row>
    <row r="190" spans="1:15" x14ac:dyDescent="0.25">
      <c r="A190" s="24">
        <f t="shared" si="18"/>
        <v>44440</v>
      </c>
      <c r="B190" s="62"/>
      <c r="C190" s="62"/>
      <c r="D190" s="62"/>
      <c r="E190" s="61"/>
      <c r="F190" s="61"/>
      <c r="G190" s="46">
        <f t="shared" si="19"/>
        <v>0</v>
      </c>
      <c r="H190" s="22" t="e">
        <f t="shared" si="20"/>
        <v>#DIV/0!</v>
      </c>
      <c r="I190" s="23">
        <f>'1 - Amortisation'!G161</f>
        <v>208026.45326072077</v>
      </c>
      <c r="J190" s="25">
        <f t="shared" si="21"/>
        <v>447.99815673107514</v>
      </c>
      <c r="K190" s="25">
        <f t="shared" si="24"/>
        <v>208026.45326072077</v>
      </c>
      <c r="M190" s="26" t="e">
        <f t="shared" si="22"/>
        <v>#DIV/0!</v>
      </c>
      <c r="N190" s="1">
        <f t="shared" si="17"/>
        <v>0</v>
      </c>
      <c r="O190" s="44">
        <f t="shared" si="23"/>
        <v>0</v>
      </c>
    </row>
    <row r="191" spans="1:15" x14ac:dyDescent="0.25">
      <c r="A191" s="24">
        <f t="shared" si="18"/>
        <v>44470</v>
      </c>
      <c r="B191" s="62"/>
      <c r="C191" s="62"/>
      <c r="D191" s="62"/>
      <c r="E191" s="61"/>
      <c r="F191" s="61"/>
      <c r="G191" s="46">
        <f t="shared" si="19"/>
        <v>0</v>
      </c>
      <c r="H191" s="22" t="e">
        <f t="shared" si="20"/>
        <v>#DIV/0!</v>
      </c>
      <c r="I191" s="23">
        <f>'1 - Amortisation'!G162</f>
        <v>207575.09511781423</v>
      </c>
      <c r="J191" s="25">
        <f t="shared" si="21"/>
        <v>451.35814290653798</v>
      </c>
      <c r="K191" s="25">
        <f t="shared" si="24"/>
        <v>207575.09511781423</v>
      </c>
      <c r="M191" s="26" t="e">
        <f t="shared" si="22"/>
        <v>#DIV/0!</v>
      </c>
      <c r="N191" s="1">
        <f t="shared" si="17"/>
        <v>0</v>
      </c>
      <c r="O191" s="44">
        <f t="shared" si="23"/>
        <v>0</v>
      </c>
    </row>
    <row r="192" spans="1:15" x14ac:dyDescent="0.25">
      <c r="A192" s="24">
        <f t="shared" si="18"/>
        <v>44501</v>
      </c>
      <c r="B192" s="62"/>
      <c r="C192" s="62"/>
      <c r="D192" s="62"/>
      <c r="E192" s="61"/>
      <c r="F192" s="61"/>
      <c r="G192" s="46">
        <f t="shared" si="19"/>
        <v>0</v>
      </c>
      <c r="H192" s="22" t="e">
        <f t="shared" si="20"/>
        <v>#DIV/0!</v>
      </c>
      <c r="I192" s="23">
        <f>'1 - Amortisation'!G163</f>
        <v>207120.35178883589</v>
      </c>
      <c r="J192" s="25">
        <f t="shared" si="21"/>
        <v>454.74332897833665</v>
      </c>
      <c r="K192" s="25">
        <f t="shared" si="24"/>
        <v>207120.35178883589</v>
      </c>
      <c r="M192" s="26" t="e">
        <f t="shared" si="22"/>
        <v>#DIV/0!</v>
      </c>
      <c r="N192" s="1">
        <f t="shared" si="17"/>
        <v>0</v>
      </c>
      <c r="O192" s="44">
        <f t="shared" si="23"/>
        <v>0</v>
      </c>
    </row>
    <row r="193" spans="1:15" x14ac:dyDescent="0.25">
      <c r="A193" s="24">
        <f t="shared" si="18"/>
        <v>44531</v>
      </c>
      <c r="B193" s="62"/>
      <c r="C193" s="62"/>
      <c r="D193" s="62"/>
      <c r="E193" s="61"/>
      <c r="F193" s="61"/>
      <c r="G193" s="46">
        <f t="shared" si="19"/>
        <v>0</v>
      </c>
      <c r="H193" s="22" t="e">
        <f t="shared" si="20"/>
        <v>#DIV/0!</v>
      </c>
      <c r="I193" s="23">
        <f>'1 - Amortisation'!G164</f>
        <v>206662.19788489019</v>
      </c>
      <c r="J193" s="25">
        <f t="shared" si="21"/>
        <v>458.1539039456984</v>
      </c>
      <c r="K193" s="25">
        <f t="shared" si="24"/>
        <v>206662.19788489019</v>
      </c>
      <c r="M193" s="26" t="e">
        <f t="shared" si="22"/>
        <v>#DIV/0!</v>
      </c>
      <c r="N193" s="1">
        <f t="shared" si="17"/>
        <v>0</v>
      </c>
      <c r="O193" s="44">
        <f t="shared" si="23"/>
        <v>0</v>
      </c>
    </row>
    <row r="194" spans="1:15" x14ac:dyDescent="0.25">
      <c r="A194" s="24">
        <f t="shared" si="18"/>
        <v>44562</v>
      </c>
      <c r="B194" s="62"/>
      <c r="C194" s="62"/>
      <c r="D194" s="62"/>
      <c r="E194" s="61"/>
      <c r="F194" s="61"/>
      <c r="G194" s="46">
        <f t="shared" si="19"/>
        <v>0</v>
      </c>
      <c r="H194" s="22" t="e">
        <f t="shared" si="20"/>
        <v>#DIV/0!</v>
      </c>
      <c r="I194" s="23">
        <f>'1 - Amortisation'!G165</f>
        <v>206200.60782666493</v>
      </c>
      <c r="J194" s="25">
        <f t="shared" si="21"/>
        <v>461.59005822526524</v>
      </c>
      <c r="K194" s="25">
        <f t="shared" si="24"/>
        <v>206200.60782666493</v>
      </c>
      <c r="M194" s="26" t="e">
        <f t="shared" si="22"/>
        <v>#DIV/0!</v>
      </c>
      <c r="N194" s="1">
        <f t="shared" si="17"/>
        <v>0</v>
      </c>
      <c r="O194" s="44">
        <f t="shared" si="23"/>
        <v>0</v>
      </c>
    </row>
    <row r="195" spans="1:15" x14ac:dyDescent="0.25">
      <c r="A195" s="24">
        <f t="shared" si="18"/>
        <v>44593</v>
      </c>
      <c r="B195" s="62"/>
      <c r="C195" s="62"/>
      <c r="D195" s="62"/>
      <c r="E195" s="61"/>
      <c r="F195" s="61"/>
      <c r="G195" s="46">
        <f t="shared" si="19"/>
        <v>0</v>
      </c>
      <c r="H195" s="22" t="e">
        <f t="shared" si="20"/>
        <v>#DIV/0!</v>
      </c>
      <c r="I195" s="23">
        <f>'1 - Amortisation'!G166</f>
        <v>205735.55584300295</v>
      </c>
      <c r="J195" s="25">
        <f t="shared" si="21"/>
        <v>465.05198366197874</v>
      </c>
      <c r="K195" s="25">
        <f t="shared" si="24"/>
        <v>205735.55584300295</v>
      </c>
      <c r="M195" s="26" t="e">
        <f t="shared" si="22"/>
        <v>#DIV/0!</v>
      </c>
      <c r="N195" s="1">
        <f t="shared" si="17"/>
        <v>0</v>
      </c>
      <c r="O195" s="44">
        <f t="shared" si="23"/>
        <v>0</v>
      </c>
    </row>
    <row r="196" spans="1:15" x14ac:dyDescent="0.25">
      <c r="A196" s="24">
        <f t="shared" si="18"/>
        <v>44621</v>
      </c>
      <c r="B196" s="62"/>
      <c r="C196" s="62"/>
      <c r="D196" s="62"/>
      <c r="E196" s="61"/>
      <c r="F196" s="61"/>
      <c r="G196" s="46">
        <f t="shared" si="19"/>
        <v>0</v>
      </c>
      <c r="H196" s="22" t="e">
        <f t="shared" si="20"/>
        <v>#DIV/0!</v>
      </c>
      <c r="I196" s="23">
        <f>'1 - Amortisation'!G167</f>
        <v>205267.01596946351</v>
      </c>
      <c r="J196" s="25">
        <f t="shared" si="21"/>
        <v>468.53987353944103</v>
      </c>
      <c r="K196" s="25">
        <f t="shared" si="24"/>
        <v>205267.01596946351</v>
      </c>
      <c r="M196" s="26" t="e">
        <f t="shared" si="22"/>
        <v>#DIV/0!</v>
      </c>
      <c r="N196" s="1">
        <f t="shared" si="17"/>
        <v>0</v>
      </c>
      <c r="O196" s="44">
        <f t="shared" si="23"/>
        <v>0</v>
      </c>
    </row>
    <row r="197" spans="1:15" x14ac:dyDescent="0.25">
      <c r="A197" s="24">
        <f t="shared" si="18"/>
        <v>44652</v>
      </c>
      <c r="B197" s="62"/>
      <c r="C197" s="62"/>
      <c r="D197" s="62"/>
      <c r="E197" s="61"/>
      <c r="F197" s="61"/>
      <c r="G197" s="46">
        <f t="shared" si="19"/>
        <v>0</v>
      </c>
      <c r="H197" s="22" t="e">
        <f t="shared" si="20"/>
        <v>#DIV/0!</v>
      </c>
      <c r="I197" s="23">
        <f>'1 - Amortisation'!G168</f>
        <v>204794.96204687253</v>
      </c>
      <c r="J197" s="25">
        <f t="shared" si="21"/>
        <v>472.05392259097425</v>
      </c>
      <c r="K197" s="25">
        <f t="shared" si="24"/>
        <v>204794.96204687253</v>
      </c>
      <c r="M197" s="26" t="e">
        <f t="shared" si="22"/>
        <v>#DIV/0!</v>
      </c>
      <c r="N197" s="1">
        <f t="shared" si="17"/>
        <v>0</v>
      </c>
      <c r="O197" s="44">
        <f t="shared" si="23"/>
        <v>0</v>
      </c>
    </row>
    <row r="198" spans="1:15" x14ac:dyDescent="0.25">
      <c r="A198" s="24">
        <f t="shared" si="18"/>
        <v>44682</v>
      </c>
      <c r="B198" s="62"/>
      <c r="C198" s="62"/>
      <c r="D198" s="62"/>
      <c r="E198" s="61"/>
      <c r="F198" s="61"/>
      <c r="G198" s="46">
        <f t="shared" si="19"/>
        <v>0</v>
      </c>
      <c r="H198" s="22" t="e">
        <f t="shared" si="20"/>
        <v>#DIV/0!</v>
      </c>
      <c r="I198" s="23">
        <f>'1 - Amortisation'!G169</f>
        <v>204319.36771986212</v>
      </c>
      <c r="J198" s="25">
        <f t="shared" si="21"/>
        <v>475.59432701041806</v>
      </c>
      <c r="K198" s="25">
        <f t="shared" si="24"/>
        <v>204319.36771986212</v>
      </c>
      <c r="M198" s="26" t="e">
        <f t="shared" si="22"/>
        <v>#DIV/0!</v>
      </c>
      <c r="N198" s="1">
        <f t="shared" si="17"/>
        <v>0</v>
      </c>
      <c r="O198" s="44">
        <f t="shared" si="23"/>
        <v>0</v>
      </c>
    </row>
    <row r="199" spans="1:15" x14ac:dyDescent="0.25">
      <c r="A199" s="24">
        <f t="shared" si="18"/>
        <v>44713</v>
      </c>
      <c r="B199" s="62"/>
      <c r="C199" s="62"/>
      <c r="D199" s="62"/>
      <c r="E199" s="61"/>
      <c r="F199" s="61"/>
      <c r="G199" s="46">
        <f t="shared" si="19"/>
        <v>0</v>
      </c>
      <c r="H199" s="22" t="e">
        <f t="shared" si="20"/>
        <v>#DIV/0!</v>
      </c>
      <c r="I199" s="23">
        <f>'1 - Amortisation'!G170</f>
        <v>203840.20643539913</v>
      </c>
      <c r="J199" s="25">
        <f t="shared" si="21"/>
        <v>479.16128446298535</v>
      </c>
      <c r="K199" s="25">
        <f t="shared" si="24"/>
        <v>203840.20643539913</v>
      </c>
      <c r="M199" s="26" t="e">
        <f t="shared" si="22"/>
        <v>#DIV/0!</v>
      </c>
      <c r="N199" s="1">
        <f t="shared" si="17"/>
        <v>0</v>
      </c>
      <c r="O199" s="44">
        <f t="shared" si="23"/>
        <v>0</v>
      </c>
    </row>
    <row r="200" spans="1:15" x14ac:dyDescent="0.25">
      <c r="A200" s="24">
        <f t="shared" si="18"/>
        <v>44743</v>
      </c>
      <c r="B200" s="62"/>
      <c r="C200" s="62"/>
      <c r="D200" s="62"/>
      <c r="E200" s="61"/>
      <c r="F200" s="61"/>
      <c r="G200" s="46">
        <f t="shared" si="19"/>
        <v>0</v>
      </c>
      <c r="H200" s="22" t="e">
        <f t="shared" si="20"/>
        <v>#DIV/0!</v>
      </c>
      <c r="I200" s="23">
        <f>'1 - Amortisation'!G171</f>
        <v>203357.45144130266</v>
      </c>
      <c r="J200" s="25">
        <f t="shared" si="21"/>
        <v>482.75499409646727</v>
      </c>
      <c r="K200" s="25">
        <f t="shared" si="24"/>
        <v>203357.45144130266</v>
      </c>
      <c r="M200" s="26" t="e">
        <f t="shared" si="22"/>
        <v>#DIV/0!</v>
      </c>
      <c r="N200" s="1">
        <f t="shared" si="17"/>
        <v>0</v>
      </c>
      <c r="O200" s="44">
        <f t="shared" si="23"/>
        <v>0</v>
      </c>
    </row>
    <row r="201" spans="1:15" x14ac:dyDescent="0.25">
      <c r="A201" s="24">
        <f t="shared" si="18"/>
        <v>44774</v>
      </c>
      <c r="B201" s="62"/>
      <c r="C201" s="62"/>
      <c r="D201" s="62"/>
      <c r="E201" s="61"/>
      <c r="F201" s="61"/>
      <c r="G201" s="46">
        <f t="shared" si="19"/>
        <v>0</v>
      </c>
      <c r="H201" s="22" t="e">
        <f t="shared" si="20"/>
        <v>#DIV/0!</v>
      </c>
      <c r="I201" s="23">
        <f>'1 - Amortisation'!G172</f>
        <v>202871.07578475049</v>
      </c>
      <c r="J201" s="25">
        <f t="shared" si="21"/>
        <v>486.37565655217622</v>
      </c>
      <c r="K201" s="25">
        <f t="shared" si="24"/>
        <v>202871.07578475049</v>
      </c>
      <c r="M201" s="26" t="e">
        <f t="shared" si="22"/>
        <v>#DIV/0!</v>
      </c>
      <c r="N201" s="1">
        <f t="shared" si="17"/>
        <v>0</v>
      </c>
      <c r="O201" s="44">
        <f t="shared" si="23"/>
        <v>0</v>
      </c>
    </row>
    <row r="202" spans="1:15" x14ac:dyDescent="0.25">
      <c r="A202" s="24">
        <f t="shared" si="18"/>
        <v>44805</v>
      </c>
      <c r="B202" s="62"/>
      <c r="C202" s="62"/>
      <c r="D202" s="62"/>
      <c r="E202" s="61"/>
      <c r="F202" s="61"/>
      <c r="G202" s="46">
        <f t="shared" si="19"/>
        <v>0</v>
      </c>
      <c r="H202" s="22" t="e">
        <f t="shared" si="20"/>
        <v>#DIV/0!</v>
      </c>
      <c r="I202" s="23">
        <f>'1 - Amortisation'!G173</f>
        <v>202381.05231077416</v>
      </c>
      <c r="J202" s="25">
        <f t="shared" si="21"/>
        <v>490.02347397632548</v>
      </c>
      <c r="K202" s="25">
        <f t="shared" si="24"/>
        <v>202381.05231077416</v>
      </c>
      <c r="M202" s="26" t="e">
        <f t="shared" si="22"/>
        <v>#DIV/0!</v>
      </c>
      <c r="N202" s="1">
        <f t="shared" si="17"/>
        <v>0</v>
      </c>
      <c r="O202" s="44">
        <f t="shared" si="23"/>
        <v>0</v>
      </c>
    </row>
    <row r="203" spans="1:15" x14ac:dyDescent="0.25">
      <c r="A203" s="24">
        <f t="shared" si="18"/>
        <v>44835</v>
      </c>
      <c r="B203" s="62"/>
      <c r="C203" s="62"/>
      <c r="D203" s="62"/>
      <c r="E203" s="61"/>
      <c r="F203" s="61"/>
      <c r="G203" s="46">
        <f t="shared" si="19"/>
        <v>0</v>
      </c>
      <c r="H203" s="22" t="e">
        <f t="shared" si="20"/>
        <v>#DIV/0!</v>
      </c>
      <c r="I203" s="23">
        <f>'1 - Amortisation'!G174</f>
        <v>201887.35366074301</v>
      </c>
      <c r="J203" s="25">
        <f t="shared" si="21"/>
        <v>493.69865003114683</v>
      </c>
      <c r="K203" s="25">
        <f t="shared" si="24"/>
        <v>201887.35366074301</v>
      </c>
      <c r="M203" s="26" t="e">
        <f t="shared" si="22"/>
        <v>#DIV/0!</v>
      </c>
      <c r="N203" s="1">
        <f t="shared" si="17"/>
        <v>0</v>
      </c>
      <c r="O203" s="44">
        <f t="shared" si="23"/>
        <v>0</v>
      </c>
    </row>
    <row r="204" spans="1:15" x14ac:dyDescent="0.25">
      <c r="A204" s="24">
        <f t="shared" si="18"/>
        <v>44866</v>
      </c>
      <c r="B204" s="62"/>
      <c r="C204" s="62"/>
      <c r="D204" s="62"/>
      <c r="E204" s="61"/>
      <c r="F204" s="61"/>
      <c r="G204" s="46">
        <f t="shared" si="19"/>
        <v>0</v>
      </c>
      <c r="H204" s="22" t="e">
        <f t="shared" si="20"/>
        <v>#DIV/0!</v>
      </c>
      <c r="I204" s="23">
        <f>'1 - Amortisation'!G175</f>
        <v>201389.95227083663</v>
      </c>
      <c r="J204" s="25">
        <f t="shared" si="21"/>
        <v>497.40138990638661</v>
      </c>
      <c r="K204" s="25">
        <f t="shared" si="24"/>
        <v>201389.95227083663</v>
      </c>
      <c r="M204" s="26" t="e">
        <f t="shared" si="22"/>
        <v>#DIV/0!</v>
      </c>
      <c r="N204" s="1">
        <f t="shared" si="17"/>
        <v>0</v>
      </c>
      <c r="O204" s="44">
        <f t="shared" si="23"/>
        <v>0</v>
      </c>
    </row>
    <row r="205" spans="1:15" x14ac:dyDescent="0.25">
      <c r="A205" s="24">
        <f t="shared" si="18"/>
        <v>44896</v>
      </c>
      <c r="B205" s="62"/>
      <c r="C205" s="62"/>
      <c r="D205" s="62"/>
      <c r="E205" s="61"/>
      <c r="F205" s="61"/>
      <c r="G205" s="46">
        <f t="shared" si="19"/>
        <v>0</v>
      </c>
      <c r="H205" s="22" t="e">
        <f t="shared" si="20"/>
        <v>#DIV/0!</v>
      </c>
      <c r="I205" s="23">
        <f>'1 - Amortisation'!G176</f>
        <v>200888.82037050594</v>
      </c>
      <c r="J205" s="25">
        <f t="shared" si="21"/>
        <v>501.13190033068531</v>
      </c>
      <c r="K205" s="25">
        <f t="shared" si="24"/>
        <v>200888.82037050594</v>
      </c>
      <c r="M205" s="26" t="e">
        <f t="shared" si="22"/>
        <v>#DIV/0!</v>
      </c>
      <c r="N205" s="1">
        <f t="shared" si="17"/>
        <v>0</v>
      </c>
      <c r="O205" s="44">
        <f t="shared" si="23"/>
        <v>0</v>
      </c>
    </row>
    <row r="206" spans="1:15" x14ac:dyDescent="0.25">
      <c r="A206" s="24">
        <f t="shared" si="18"/>
        <v>44927</v>
      </c>
      <c r="B206" s="62"/>
      <c r="C206" s="62"/>
      <c r="D206" s="62"/>
      <c r="E206" s="61"/>
      <c r="F206" s="61"/>
      <c r="G206" s="46">
        <f t="shared" si="19"/>
        <v>0</v>
      </c>
      <c r="H206" s="22" t="e">
        <f t="shared" si="20"/>
        <v>#DIV/0!</v>
      </c>
      <c r="I206" s="23">
        <f>'1 - Amortisation'!G177</f>
        <v>200383.92998092278</v>
      </c>
      <c r="J206" s="25">
        <f t="shared" si="21"/>
        <v>504.89038958316087</v>
      </c>
      <c r="K206" s="25">
        <f t="shared" si="24"/>
        <v>200383.92998092278</v>
      </c>
      <c r="M206" s="26" t="e">
        <f t="shared" si="22"/>
        <v>#DIV/0!</v>
      </c>
      <c r="N206" s="1">
        <f t="shared" si="17"/>
        <v>0</v>
      </c>
      <c r="O206" s="44">
        <f t="shared" si="23"/>
        <v>0</v>
      </c>
    </row>
    <row r="207" spans="1:15" x14ac:dyDescent="0.25">
      <c r="A207" s="24">
        <f t="shared" si="18"/>
        <v>44958</v>
      </c>
      <c r="B207" s="62"/>
      <c r="C207" s="62"/>
      <c r="D207" s="62"/>
      <c r="E207" s="61"/>
      <c r="F207" s="61"/>
      <c r="G207" s="46">
        <f t="shared" si="19"/>
        <v>0</v>
      </c>
      <c r="H207" s="22" t="e">
        <f t="shared" si="20"/>
        <v>#DIV/0!</v>
      </c>
      <c r="I207" s="23">
        <f>'1 - Amortisation'!G178</f>
        <v>199875.25291341776</v>
      </c>
      <c r="J207" s="25">
        <f t="shared" si="21"/>
        <v>508.67706750502111</v>
      </c>
      <c r="K207" s="25">
        <f t="shared" si="24"/>
        <v>199875.25291341776</v>
      </c>
      <c r="M207" s="26" t="e">
        <f t="shared" si="22"/>
        <v>#DIV/0!</v>
      </c>
      <c r="N207" s="1">
        <f t="shared" si="17"/>
        <v>0</v>
      </c>
      <c r="O207" s="44">
        <f t="shared" si="23"/>
        <v>0</v>
      </c>
    </row>
    <row r="208" spans="1:15" x14ac:dyDescent="0.25">
      <c r="A208" s="24">
        <f t="shared" si="18"/>
        <v>44986</v>
      </c>
      <c r="B208" s="62"/>
      <c r="C208" s="62"/>
      <c r="D208" s="62"/>
      <c r="E208" s="61"/>
      <c r="F208" s="61"/>
      <c r="G208" s="46">
        <f t="shared" si="19"/>
        <v>0</v>
      </c>
      <c r="H208" s="22" t="e">
        <f t="shared" si="20"/>
        <v>#DIV/0!</v>
      </c>
      <c r="I208" s="23">
        <f>'1 - Amortisation'!G179</f>
        <v>199362.76076790644</v>
      </c>
      <c r="J208" s="25">
        <f t="shared" si="21"/>
        <v>512.49214551132172</v>
      </c>
      <c r="K208" s="25">
        <f t="shared" si="24"/>
        <v>199362.76076790644</v>
      </c>
      <c r="M208" s="26" t="e">
        <f t="shared" si="22"/>
        <v>#DIV/0!</v>
      </c>
      <c r="N208" s="1">
        <f t="shared" si="17"/>
        <v>0</v>
      </c>
      <c r="O208" s="44">
        <f t="shared" si="23"/>
        <v>0</v>
      </c>
    </row>
    <row r="209" spans="1:15" x14ac:dyDescent="0.25">
      <c r="A209" s="24">
        <f t="shared" si="18"/>
        <v>45017</v>
      </c>
      <c r="B209" s="62"/>
      <c r="C209" s="62"/>
      <c r="D209" s="62"/>
      <c r="E209" s="61"/>
      <c r="F209" s="61"/>
      <c r="G209" s="46">
        <f t="shared" si="19"/>
        <v>0</v>
      </c>
      <c r="H209" s="22" t="e">
        <f t="shared" si="20"/>
        <v>#DIV/0!</v>
      </c>
      <c r="I209" s="23">
        <f>'1 - Amortisation'!G180</f>
        <v>198846.42493130377</v>
      </c>
      <c r="J209" s="25">
        <f t="shared" si="21"/>
        <v>516.33583660266595</v>
      </c>
      <c r="K209" s="25">
        <f t="shared" si="24"/>
        <v>198846.42493130377</v>
      </c>
      <c r="M209" s="26" t="e">
        <f t="shared" si="22"/>
        <v>#DIV/0!</v>
      </c>
      <c r="N209" s="1">
        <f t="shared" si="17"/>
        <v>0</v>
      </c>
      <c r="O209" s="44">
        <f t="shared" si="23"/>
        <v>0</v>
      </c>
    </row>
    <row r="210" spans="1:15" x14ac:dyDescent="0.25">
      <c r="A210" s="24">
        <f t="shared" si="18"/>
        <v>45047</v>
      </c>
      <c r="B210" s="62"/>
      <c r="C210" s="62"/>
      <c r="D210" s="62"/>
      <c r="E210" s="61"/>
      <c r="F210" s="61"/>
      <c r="G210" s="46">
        <f t="shared" si="19"/>
        <v>0</v>
      </c>
      <c r="H210" s="22" t="e">
        <f t="shared" si="20"/>
        <v>#DIV/0!</v>
      </c>
      <c r="I210" s="23">
        <f>'1 - Amortisation'!G181</f>
        <v>198326.21657592661</v>
      </c>
      <c r="J210" s="25">
        <f t="shared" si="21"/>
        <v>520.2083553771663</v>
      </c>
      <c r="K210" s="25">
        <f t="shared" si="24"/>
        <v>198326.21657592661</v>
      </c>
      <c r="M210" s="26" t="e">
        <f t="shared" si="22"/>
        <v>#DIV/0!</v>
      </c>
      <c r="N210" s="1">
        <f t="shared" si="17"/>
        <v>0</v>
      </c>
      <c r="O210" s="44">
        <f t="shared" si="23"/>
        <v>0</v>
      </c>
    </row>
    <row r="211" spans="1:15" x14ac:dyDescent="0.25">
      <c r="A211" s="24">
        <f t="shared" si="18"/>
        <v>45078</v>
      </c>
      <c r="B211" s="62"/>
      <c r="C211" s="62"/>
      <c r="D211" s="62"/>
      <c r="E211" s="61"/>
      <c r="F211" s="61"/>
      <c r="G211" s="46">
        <f t="shared" si="19"/>
        <v>0</v>
      </c>
      <c r="H211" s="22" t="e">
        <f t="shared" si="20"/>
        <v>#DIV/0!</v>
      </c>
      <c r="I211" s="23">
        <f>'1 - Amortisation'!G182</f>
        <v>197802.10665788411</v>
      </c>
      <c r="J211" s="25">
        <f t="shared" si="21"/>
        <v>524.10991804249352</v>
      </c>
      <c r="K211" s="25">
        <f t="shared" si="24"/>
        <v>197802.10665788411</v>
      </c>
      <c r="M211" s="26" t="e">
        <f t="shared" si="22"/>
        <v>#DIV/0!</v>
      </c>
      <c r="N211" s="1">
        <f t="shared" si="17"/>
        <v>0</v>
      </c>
      <c r="O211" s="44">
        <f t="shared" si="23"/>
        <v>0</v>
      </c>
    </row>
    <row r="212" spans="1:15" x14ac:dyDescent="0.25">
      <c r="A212" s="24">
        <f t="shared" si="18"/>
        <v>45108</v>
      </c>
      <c r="B212" s="62"/>
      <c r="C212" s="62"/>
      <c r="D212" s="62"/>
      <c r="E212" s="61"/>
      <c r="F212" s="61"/>
      <c r="G212" s="46">
        <f t="shared" si="19"/>
        <v>0</v>
      </c>
      <c r="H212" s="22" t="e">
        <f t="shared" si="20"/>
        <v>#DIV/0!</v>
      </c>
      <c r="I212" s="23">
        <f>'1 - Amortisation'!G183</f>
        <v>197274.06591545627</v>
      </c>
      <c r="J212" s="25">
        <f t="shared" si="21"/>
        <v>528.04074242783827</v>
      </c>
      <c r="K212" s="25">
        <f t="shared" si="24"/>
        <v>197274.06591545627</v>
      </c>
      <c r="M212" s="26" t="e">
        <f t="shared" si="22"/>
        <v>#DIV/0!</v>
      </c>
      <c r="N212" s="1">
        <f t="shared" si="17"/>
        <v>0</v>
      </c>
      <c r="O212" s="44">
        <f t="shared" si="23"/>
        <v>0</v>
      </c>
    </row>
    <row r="213" spans="1:15" x14ac:dyDescent="0.25">
      <c r="A213" s="24">
        <f t="shared" si="18"/>
        <v>45139</v>
      </c>
      <c r="B213" s="62"/>
      <c r="C213" s="62"/>
      <c r="D213" s="62"/>
      <c r="E213" s="61"/>
      <c r="F213" s="61"/>
      <c r="G213" s="46">
        <f t="shared" si="19"/>
        <v>0</v>
      </c>
      <c r="H213" s="22" t="e">
        <f t="shared" si="20"/>
        <v>#DIV/0!</v>
      </c>
      <c r="I213" s="23">
        <f>'1 - Amortisation'!G184</f>
        <v>196742.06486746023</v>
      </c>
      <c r="J213" s="25">
        <f t="shared" si="21"/>
        <v>532.00104799604742</v>
      </c>
      <c r="K213" s="25">
        <f t="shared" si="24"/>
        <v>196742.06486746023</v>
      </c>
      <c r="M213" s="26" t="e">
        <f t="shared" si="22"/>
        <v>#DIV/0!</v>
      </c>
      <c r="N213" s="1">
        <f t="shared" si="17"/>
        <v>0</v>
      </c>
      <c r="O213" s="44">
        <f t="shared" si="23"/>
        <v>0</v>
      </c>
    </row>
    <row r="214" spans="1:15" x14ac:dyDescent="0.25">
      <c r="A214" s="24">
        <f t="shared" si="18"/>
        <v>45170</v>
      </c>
      <c r="B214" s="62"/>
      <c r="C214" s="62"/>
      <c r="D214" s="62"/>
      <c r="E214" s="61"/>
      <c r="F214" s="61"/>
      <c r="G214" s="46">
        <f t="shared" si="19"/>
        <v>0</v>
      </c>
      <c r="H214" s="22" t="e">
        <f t="shared" si="20"/>
        <v>#DIV/0!</v>
      </c>
      <c r="I214" s="23">
        <f>'1 - Amortisation'!G185</f>
        <v>196206.07381160423</v>
      </c>
      <c r="J214" s="25">
        <f t="shared" si="21"/>
        <v>535.99105585599318</v>
      </c>
      <c r="K214" s="25">
        <f t="shared" si="24"/>
        <v>196206.07381160423</v>
      </c>
      <c r="M214" s="26" t="e">
        <f t="shared" si="22"/>
        <v>#DIV/0!</v>
      </c>
      <c r="N214" s="1">
        <f t="shared" si="17"/>
        <v>0</v>
      </c>
      <c r="O214" s="44">
        <f t="shared" si="23"/>
        <v>0</v>
      </c>
    </row>
    <row r="215" spans="1:15" x14ac:dyDescent="0.25">
      <c r="A215" s="24">
        <f t="shared" si="18"/>
        <v>45200</v>
      </c>
      <c r="B215" s="62"/>
      <c r="C215" s="62"/>
      <c r="D215" s="62"/>
      <c r="E215" s="61"/>
      <c r="F215" s="61"/>
      <c r="G215" s="46">
        <f t="shared" si="19"/>
        <v>0</v>
      </c>
      <c r="H215" s="22" t="e">
        <f t="shared" si="20"/>
        <v>#DIV/0!</v>
      </c>
      <c r="I215" s="23">
        <f>'1 - Amortisation'!G186</f>
        <v>195666.06282282932</v>
      </c>
      <c r="J215" s="25">
        <f t="shared" si="21"/>
        <v>540.01098877491313</v>
      </c>
      <c r="K215" s="25">
        <f t="shared" si="24"/>
        <v>195666.06282282932</v>
      </c>
      <c r="M215" s="26" t="e">
        <f t="shared" si="22"/>
        <v>#DIV/0!</v>
      </c>
      <c r="N215" s="1">
        <f t="shared" si="17"/>
        <v>0</v>
      </c>
      <c r="O215" s="44">
        <f t="shared" si="23"/>
        <v>0</v>
      </c>
    </row>
    <row r="216" spans="1:15" x14ac:dyDescent="0.25">
      <c r="A216" s="24">
        <f t="shared" si="18"/>
        <v>45231</v>
      </c>
      <c r="B216" s="62"/>
      <c r="C216" s="62"/>
      <c r="D216" s="62"/>
      <c r="E216" s="61"/>
      <c r="F216" s="61"/>
      <c r="G216" s="46">
        <f t="shared" si="19"/>
        <v>0</v>
      </c>
      <c r="H216" s="22" t="e">
        <f t="shared" si="20"/>
        <v>#DIV/0!</v>
      </c>
      <c r="I216" s="23">
        <f>'1 - Amortisation'!G187</f>
        <v>195122.0017516386</v>
      </c>
      <c r="J216" s="25">
        <f t="shared" si="21"/>
        <v>544.06107119072112</v>
      </c>
      <c r="K216" s="25">
        <f t="shared" si="24"/>
        <v>195122.0017516386</v>
      </c>
      <c r="M216" s="26" t="e">
        <f t="shared" si="22"/>
        <v>#DIV/0!</v>
      </c>
      <c r="N216" s="1">
        <f t="shared" ref="N216:N279" si="25">IF(F216&gt;0,F215-F216,0)</f>
        <v>0</v>
      </c>
      <c r="O216" s="44">
        <f t="shared" si="23"/>
        <v>0</v>
      </c>
    </row>
    <row r="217" spans="1:15" x14ac:dyDescent="0.25">
      <c r="A217" s="24">
        <f t="shared" si="18"/>
        <v>45261</v>
      </c>
      <c r="B217" s="62"/>
      <c r="C217" s="62"/>
      <c r="D217" s="62"/>
      <c r="E217" s="61"/>
      <c r="F217" s="61"/>
      <c r="G217" s="46">
        <f t="shared" si="19"/>
        <v>0</v>
      </c>
      <c r="H217" s="22" t="e">
        <f t="shared" si="20"/>
        <v>#DIV/0!</v>
      </c>
      <c r="I217" s="23">
        <f>'1 - Amortisation'!G188</f>
        <v>194573.86022241393</v>
      </c>
      <c r="J217" s="25">
        <f t="shared" si="21"/>
        <v>548.14152922466747</v>
      </c>
      <c r="K217" s="25">
        <f t="shared" si="24"/>
        <v>194573.86022241393</v>
      </c>
      <c r="M217" s="26" t="e">
        <f t="shared" si="22"/>
        <v>#DIV/0!</v>
      </c>
      <c r="N217" s="1">
        <f t="shared" si="25"/>
        <v>0</v>
      </c>
      <c r="O217" s="44">
        <f t="shared" si="23"/>
        <v>0</v>
      </c>
    </row>
    <row r="218" spans="1:15" x14ac:dyDescent="0.25">
      <c r="A218" s="24">
        <f t="shared" si="18"/>
        <v>45292</v>
      </c>
      <c r="B218" s="62"/>
      <c r="C218" s="62"/>
      <c r="D218" s="62"/>
      <c r="E218" s="61"/>
      <c r="F218" s="61"/>
      <c r="G218" s="46">
        <f t="shared" si="19"/>
        <v>0</v>
      </c>
      <c r="H218" s="22" t="e">
        <f t="shared" si="20"/>
        <v>#DIV/0!</v>
      </c>
      <c r="I218" s="23">
        <f>'1 - Amortisation'!G189</f>
        <v>194021.60763172008</v>
      </c>
      <c r="J218" s="25">
        <f t="shared" si="21"/>
        <v>552.25259069385356</v>
      </c>
      <c r="K218" s="25">
        <f t="shared" si="24"/>
        <v>194021.60763172008</v>
      </c>
      <c r="M218" s="26" t="e">
        <f t="shared" si="22"/>
        <v>#DIV/0!</v>
      </c>
      <c r="N218" s="1">
        <f t="shared" si="25"/>
        <v>0</v>
      </c>
      <c r="O218" s="44">
        <f t="shared" si="23"/>
        <v>0</v>
      </c>
    </row>
    <row r="219" spans="1:15" x14ac:dyDescent="0.25">
      <c r="A219" s="24">
        <f t="shared" si="18"/>
        <v>45323</v>
      </c>
      <c r="B219" s="62"/>
      <c r="C219" s="62"/>
      <c r="D219" s="62"/>
      <c r="E219" s="61"/>
      <c r="F219" s="61"/>
      <c r="G219" s="46">
        <f t="shared" si="19"/>
        <v>0</v>
      </c>
      <c r="H219" s="22" t="e">
        <f t="shared" si="20"/>
        <v>#DIV/0!</v>
      </c>
      <c r="I219" s="23">
        <f>'1 - Amortisation'!G190</f>
        <v>193465.21314659601</v>
      </c>
      <c r="J219" s="25">
        <f t="shared" si="21"/>
        <v>556.3944851240667</v>
      </c>
      <c r="K219" s="25">
        <f t="shared" si="24"/>
        <v>193465.21314659601</v>
      </c>
      <c r="M219" s="26" t="e">
        <f t="shared" si="22"/>
        <v>#DIV/0!</v>
      </c>
      <c r="N219" s="1">
        <f t="shared" si="25"/>
        <v>0</v>
      </c>
      <c r="O219" s="44">
        <f t="shared" si="23"/>
        <v>0</v>
      </c>
    </row>
    <row r="220" spans="1:15" x14ac:dyDescent="0.25">
      <c r="A220" s="24">
        <f t="shared" si="18"/>
        <v>45352</v>
      </c>
      <c r="B220" s="62"/>
      <c r="C220" s="62"/>
      <c r="D220" s="62"/>
      <c r="E220" s="61"/>
      <c r="F220" s="61"/>
      <c r="G220" s="46">
        <f t="shared" si="19"/>
        <v>0</v>
      </c>
      <c r="H220" s="22" t="e">
        <f t="shared" si="20"/>
        <v>#DIV/0!</v>
      </c>
      <c r="I220" s="23">
        <f>'1 - Amortisation'!G191</f>
        <v>192904.64570283351</v>
      </c>
      <c r="J220" s="25">
        <f t="shared" si="21"/>
        <v>560.56744376249844</v>
      </c>
      <c r="K220" s="25">
        <f t="shared" si="24"/>
        <v>192904.64570283351</v>
      </c>
      <c r="M220" s="26" t="e">
        <f t="shared" si="22"/>
        <v>#DIV/0!</v>
      </c>
      <c r="N220" s="1">
        <f t="shared" si="25"/>
        <v>0</v>
      </c>
      <c r="O220" s="44">
        <f t="shared" si="23"/>
        <v>0</v>
      </c>
    </row>
    <row r="221" spans="1:15" x14ac:dyDescent="0.25">
      <c r="A221" s="24">
        <f t="shared" si="18"/>
        <v>45383</v>
      </c>
      <c r="B221" s="62"/>
      <c r="C221" s="62"/>
      <c r="D221" s="62"/>
      <c r="E221" s="61"/>
      <c r="F221" s="61"/>
      <c r="G221" s="46">
        <f t="shared" si="19"/>
        <v>0</v>
      </c>
      <c r="H221" s="22" t="e">
        <f t="shared" si="20"/>
        <v>#DIV/0!</v>
      </c>
      <c r="I221" s="23">
        <f>'1 - Amortisation'!G192</f>
        <v>192339.87400324282</v>
      </c>
      <c r="J221" s="25">
        <f t="shared" si="21"/>
        <v>564.77169959069579</v>
      </c>
      <c r="K221" s="25">
        <f t="shared" si="24"/>
        <v>192339.87400324282</v>
      </c>
      <c r="M221" s="26" t="e">
        <f t="shared" si="22"/>
        <v>#DIV/0!</v>
      </c>
      <c r="N221" s="1">
        <f t="shared" si="25"/>
        <v>0</v>
      </c>
      <c r="O221" s="44">
        <f t="shared" si="23"/>
        <v>0</v>
      </c>
    </row>
    <row r="222" spans="1:15" x14ac:dyDescent="0.25">
      <c r="A222" s="24">
        <f t="shared" si="18"/>
        <v>45413</v>
      </c>
      <c r="B222" s="62"/>
      <c r="C222" s="62"/>
      <c r="D222" s="62"/>
      <c r="E222" s="61"/>
      <c r="F222" s="61"/>
      <c r="G222" s="46">
        <f t="shared" si="19"/>
        <v>0</v>
      </c>
      <c r="H222" s="22" t="e">
        <f t="shared" si="20"/>
        <v>#DIV/0!</v>
      </c>
      <c r="I222" s="23">
        <f>'1 - Amortisation'!G193</f>
        <v>191770.86651590519</v>
      </c>
      <c r="J222" s="25">
        <f t="shared" si="21"/>
        <v>569.00748733762885</v>
      </c>
      <c r="K222" s="25">
        <f t="shared" si="24"/>
        <v>191770.86651590519</v>
      </c>
      <c r="M222" s="26" t="e">
        <f t="shared" si="22"/>
        <v>#DIV/0!</v>
      </c>
      <c r="N222" s="1">
        <f t="shared" si="25"/>
        <v>0</v>
      </c>
      <c r="O222" s="44">
        <f t="shared" si="23"/>
        <v>0</v>
      </c>
    </row>
    <row r="223" spans="1:15" x14ac:dyDescent="0.25">
      <c r="A223" s="24">
        <f t="shared" si="18"/>
        <v>45444</v>
      </c>
      <c r="B223" s="62"/>
      <c r="C223" s="62"/>
      <c r="D223" s="62"/>
      <c r="E223" s="61"/>
      <c r="F223" s="61"/>
      <c r="G223" s="46">
        <f t="shared" si="19"/>
        <v>0</v>
      </c>
      <c r="H223" s="22" t="e">
        <f t="shared" si="20"/>
        <v>#DIV/0!</v>
      </c>
      <c r="I223" s="23">
        <f>'1 - Amortisation'!G194</f>
        <v>191197.59147241252</v>
      </c>
      <c r="J223" s="25">
        <f t="shared" si="21"/>
        <v>573.2750434926711</v>
      </c>
      <c r="K223" s="25">
        <f t="shared" si="24"/>
        <v>191197.59147241252</v>
      </c>
      <c r="M223" s="26" t="e">
        <f t="shared" si="22"/>
        <v>#DIV/0!</v>
      </c>
      <c r="N223" s="1">
        <f t="shared" si="25"/>
        <v>0</v>
      </c>
      <c r="O223" s="44">
        <f t="shared" si="23"/>
        <v>0</v>
      </c>
    </row>
    <row r="224" spans="1:15" x14ac:dyDescent="0.25">
      <c r="A224" s="24">
        <f t="shared" si="18"/>
        <v>45474</v>
      </c>
      <c r="B224" s="62"/>
      <c r="C224" s="62"/>
      <c r="D224" s="62"/>
      <c r="E224" s="61"/>
      <c r="F224" s="61"/>
      <c r="G224" s="46">
        <f t="shared" si="19"/>
        <v>0</v>
      </c>
      <c r="H224" s="22" t="e">
        <f t="shared" si="20"/>
        <v>#DIV/0!</v>
      </c>
      <c r="I224" s="23">
        <f>'1 - Amortisation'!G195</f>
        <v>190620.01686609365</v>
      </c>
      <c r="J224" s="25">
        <f t="shared" si="21"/>
        <v>577.57460631887079</v>
      </c>
      <c r="K224" s="25">
        <f t="shared" si="24"/>
        <v>190620.01686609365</v>
      </c>
      <c r="M224" s="26" t="e">
        <f t="shared" si="22"/>
        <v>#DIV/0!</v>
      </c>
      <c r="N224" s="1">
        <f t="shared" si="25"/>
        <v>0</v>
      </c>
      <c r="O224" s="44">
        <f t="shared" si="23"/>
        <v>0</v>
      </c>
    </row>
    <row r="225" spans="1:15" x14ac:dyDescent="0.25">
      <c r="A225" s="24">
        <f t="shared" ref="A225:A288" si="26">EDATE(A224,1)</f>
        <v>45505</v>
      </c>
      <c r="B225" s="62"/>
      <c r="C225" s="62"/>
      <c r="D225" s="62"/>
      <c r="E225" s="61"/>
      <c r="F225" s="61"/>
      <c r="G225" s="46">
        <f t="shared" ref="G225:G288" si="27">G224+C225</f>
        <v>0</v>
      </c>
      <c r="H225" s="22" t="e">
        <f t="shared" ref="H225:H288" si="28">F225/$F$31</f>
        <v>#DIV/0!</v>
      </c>
      <c r="I225" s="23">
        <f>'1 - Amortisation'!G196</f>
        <v>190038.1104502274</v>
      </c>
      <c r="J225" s="25">
        <f t="shared" ref="J225:J288" si="29">I224-I225</f>
        <v>581.90641586625134</v>
      </c>
      <c r="K225" s="25">
        <f t="shared" si="24"/>
        <v>190038.1104502274</v>
      </c>
      <c r="M225" s="26" t="e">
        <f t="shared" ref="M225:M288" si="30">B225/D225</f>
        <v>#DIV/0!</v>
      </c>
      <c r="N225" s="1">
        <f t="shared" si="25"/>
        <v>0</v>
      </c>
      <c r="O225" s="44">
        <f t="shared" si="23"/>
        <v>0</v>
      </c>
    </row>
    <row r="226" spans="1:15" x14ac:dyDescent="0.25">
      <c r="A226" s="24">
        <f t="shared" si="26"/>
        <v>45536</v>
      </c>
      <c r="B226" s="62"/>
      <c r="C226" s="62"/>
      <c r="D226" s="62"/>
      <c r="E226" s="61"/>
      <c r="F226" s="61"/>
      <c r="G226" s="46">
        <f t="shared" si="27"/>
        <v>0</v>
      </c>
      <c r="H226" s="22" t="e">
        <f t="shared" si="28"/>
        <v>#DIV/0!</v>
      </c>
      <c r="I226" s="23">
        <f>'1 - Amortisation'!G197</f>
        <v>189451.83973624214</v>
      </c>
      <c r="J226" s="25">
        <f t="shared" si="29"/>
        <v>586.27071398525732</v>
      </c>
      <c r="K226" s="25">
        <f t="shared" si="24"/>
        <v>189451.83973624214</v>
      </c>
      <c r="M226" s="26" t="e">
        <f t="shared" si="30"/>
        <v>#DIV/0!</v>
      </c>
      <c r="N226" s="1">
        <f t="shared" si="25"/>
        <v>0</v>
      </c>
      <c r="O226" s="44">
        <f t="shared" si="23"/>
        <v>0</v>
      </c>
    </row>
    <row r="227" spans="1:15" x14ac:dyDescent="0.25">
      <c r="A227" s="24">
        <f t="shared" si="26"/>
        <v>45566</v>
      </c>
      <c r="B227" s="62"/>
      <c r="C227" s="62"/>
      <c r="D227" s="62"/>
      <c r="E227" s="61"/>
      <c r="F227" s="61"/>
      <c r="G227" s="46">
        <f t="shared" si="27"/>
        <v>0</v>
      </c>
      <c r="H227" s="22" t="e">
        <f t="shared" si="28"/>
        <v>#DIV/0!</v>
      </c>
      <c r="I227" s="23">
        <f>'1 - Amortisation'!G198</f>
        <v>188861.171991902</v>
      </c>
      <c r="J227" s="25">
        <f t="shared" si="29"/>
        <v>590.66774434014224</v>
      </c>
      <c r="K227" s="25">
        <f t="shared" si="24"/>
        <v>188861.171991902</v>
      </c>
      <c r="M227" s="26" t="e">
        <f t="shared" si="30"/>
        <v>#DIV/0!</v>
      </c>
      <c r="N227" s="1">
        <f t="shared" si="25"/>
        <v>0</v>
      </c>
      <c r="O227" s="44">
        <f t="shared" ref="O227:O290" si="31">F227+G227</f>
        <v>0</v>
      </c>
    </row>
    <row r="228" spans="1:15" x14ac:dyDescent="0.25">
      <c r="A228" s="24">
        <f t="shared" si="26"/>
        <v>45597</v>
      </c>
      <c r="B228" s="62"/>
      <c r="C228" s="62"/>
      <c r="D228" s="62"/>
      <c r="E228" s="61"/>
      <c r="F228" s="61"/>
      <c r="G228" s="46">
        <f t="shared" si="27"/>
        <v>0</v>
      </c>
      <c r="H228" s="22" t="e">
        <f t="shared" si="28"/>
        <v>#DIV/0!</v>
      </c>
      <c r="I228" s="23">
        <f>'1 - Amortisation'!G199</f>
        <v>188266.07423947932</v>
      </c>
      <c r="J228" s="25">
        <f t="shared" si="29"/>
        <v>595.09775242267642</v>
      </c>
      <c r="K228" s="25">
        <f t="shared" si="24"/>
        <v>188266.07423947932</v>
      </c>
      <c r="M228" s="26" t="e">
        <f t="shared" si="30"/>
        <v>#DIV/0!</v>
      </c>
      <c r="N228" s="1">
        <f t="shared" si="25"/>
        <v>0</v>
      </c>
      <c r="O228" s="44">
        <f t="shared" si="31"/>
        <v>0</v>
      </c>
    </row>
    <row r="229" spans="1:15" x14ac:dyDescent="0.25">
      <c r="A229" s="24">
        <f t="shared" si="26"/>
        <v>45627</v>
      </c>
      <c r="B229" s="62"/>
      <c r="C229" s="62"/>
      <c r="D229" s="62"/>
      <c r="E229" s="61"/>
      <c r="F229" s="61"/>
      <c r="G229" s="46">
        <f t="shared" si="27"/>
        <v>0</v>
      </c>
      <c r="H229" s="22" t="e">
        <f t="shared" si="28"/>
        <v>#DIV/0!</v>
      </c>
      <c r="I229" s="23">
        <f>'1 - Amortisation'!G200</f>
        <v>187666.51325391346</v>
      </c>
      <c r="J229" s="25">
        <f t="shared" si="29"/>
        <v>599.56098556585493</v>
      </c>
      <c r="K229" s="25">
        <f t="shared" si="24"/>
        <v>187666.51325391346</v>
      </c>
      <c r="M229" s="26" t="e">
        <f t="shared" si="30"/>
        <v>#DIV/0!</v>
      </c>
      <c r="N229" s="1">
        <f t="shared" si="25"/>
        <v>0</v>
      </c>
      <c r="O229" s="44">
        <f t="shared" si="31"/>
        <v>0</v>
      </c>
    </row>
    <row r="230" spans="1:15" x14ac:dyDescent="0.25">
      <c r="A230" s="24">
        <f t="shared" si="26"/>
        <v>45658</v>
      </c>
      <c r="B230" s="62"/>
      <c r="C230" s="62"/>
      <c r="D230" s="62"/>
      <c r="E230" s="61"/>
      <c r="F230" s="61"/>
      <c r="G230" s="46">
        <f t="shared" si="27"/>
        <v>0</v>
      </c>
      <c r="H230" s="22" t="e">
        <f t="shared" si="28"/>
        <v>#DIV/0!</v>
      </c>
      <c r="I230" s="23">
        <f>'1 - Amortisation'!G201</f>
        <v>187062.45556095586</v>
      </c>
      <c r="J230" s="25">
        <f t="shared" si="29"/>
        <v>604.05769295760547</v>
      </c>
      <c r="K230" s="25">
        <f t="shared" si="24"/>
        <v>187062.45556095586</v>
      </c>
      <c r="M230" s="26" t="e">
        <f t="shared" si="30"/>
        <v>#DIV/0!</v>
      </c>
      <c r="N230" s="1">
        <f t="shared" si="25"/>
        <v>0</v>
      </c>
      <c r="O230" s="44">
        <f t="shared" si="31"/>
        <v>0</v>
      </c>
    </row>
    <row r="231" spans="1:15" x14ac:dyDescent="0.25">
      <c r="A231" s="24">
        <f t="shared" si="26"/>
        <v>45689</v>
      </c>
      <c r="B231" s="62"/>
      <c r="C231" s="62"/>
      <c r="D231" s="62"/>
      <c r="E231" s="61"/>
      <c r="F231" s="61"/>
      <c r="G231" s="46">
        <f t="shared" si="27"/>
        <v>0</v>
      </c>
      <c r="H231" s="22" t="e">
        <f t="shared" si="28"/>
        <v>#DIV/0!</v>
      </c>
      <c r="I231" s="23">
        <f>'1 - Amortisation'!G202</f>
        <v>186453.86743530107</v>
      </c>
      <c r="J231" s="25">
        <f t="shared" si="29"/>
        <v>608.58812565478729</v>
      </c>
      <c r="K231" s="25">
        <f t="shared" si="24"/>
        <v>186453.86743530107</v>
      </c>
      <c r="M231" s="26" t="e">
        <f t="shared" si="30"/>
        <v>#DIV/0!</v>
      </c>
      <c r="N231" s="1">
        <f t="shared" si="25"/>
        <v>0</v>
      </c>
      <c r="O231" s="44">
        <f t="shared" si="31"/>
        <v>0</v>
      </c>
    </row>
    <row r="232" spans="1:15" x14ac:dyDescent="0.25">
      <c r="A232" s="24">
        <f t="shared" si="26"/>
        <v>45717</v>
      </c>
      <c r="B232" s="62"/>
      <c r="C232" s="62"/>
      <c r="D232" s="62"/>
      <c r="E232" s="61"/>
      <c r="F232" s="61"/>
      <c r="G232" s="46">
        <f t="shared" si="27"/>
        <v>0</v>
      </c>
      <c r="H232" s="22" t="e">
        <f t="shared" si="28"/>
        <v>#DIV/0!</v>
      </c>
      <c r="I232" s="23">
        <f>'1 - Amortisation'!G203</f>
        <v>185840.71489870388</v>
      </c>
      <c r="J232" s="25">
        <f t="shared" si="29"/>
        <v>613.15253659719019</v>
      </c>
      <c r="K232" s="25">
        <f t="shared" si="24"/>
        <v>185840.71489870388</v>
      </c>
      <c r="M232" s="26" t="e">
        <f t="shared" si="30"/>
        <v>#DIV/0!</v>
      </c>
      <c r="N232" s="1">
        <f t="shared" si="25"/>
        <v>0</v>
      </c>
      <c r="O232" s="44">
        <f t="shared" si="31"/>
        <v>0</v>
      </c>
    </row>
    <row r="233" spans="1:15" x14ac:dyDescent="0.25">
      <c r="A233" s="24">
        <f t="shared" si="26"/>
        <v>45748</v>
      </c>
      <c r="B233" s="62"/>
      <c r="C233" s="62"/>
      <c r="D233" s="62"/>
      <c r="E233" s="61"/>
      <c r="F233" s="61"/>
      <c r="G233" s="46">
        <f t="shared" si="27"/>
        <v>0</v>
      </c>
      <c r="H233" s="22" t="e">
        <f t="shared" si="28"/>
        <v>#DIV/0!</v>
      </c>
      <c r="I233" s="23">
        <f>'1 - Amortisation'!G204</f>
        <v>185222.9637180822</v>
      </c>
      <c r="J233" s="25">
        <f t="shared" si="29"/>
        <v>617.75118062167894</v>
      </c>
      <c r="K233" s="25">
        <f t="shared" si="24"/>
        <v>185222.9637180822</v>
      </c>
      <c r="M233" s="26" t="e">
        <f t="shared" si="30"/>
        <v>#DIV/0!</v>
      </c>
      <c r="N233" s="1">
        <f t="shared" si="25"/>
        <v>0</v>
      </c>
      <c r="O233" s="44">
        <f t="shared" si="31"/>
        <v>0</v>
      </c>
    </row>
    <row r="234" spans="1:15" x14ac:dyDescent="0.25">
      <c r="A234" s="24">
        <f t="shared" si="26"/>
        <v>45778</v>
      </c>
      <c r="B234" s="62"/>
      <c r="C234" s="62"/>
      <c r="D234" s="62"/>
      <c r="E234" s="61"/>
      <c r="F234" s="61"/>
      <c r="G234" s="46">
        <f t="shared" si="27"/>
        <v>0</v>
      </c>
      <c r="H234" s="22" t="e">
        <f t="shared" si="28"/>
        <v>#DIV/0!</v>
      </c>
      <c r="I234" s="23">
        <f>'1 - Amortisation'!G205</f>
        <v>184600.57940360587</v>
      </c>
      <c r="J234" s="25">
        <f t="shared" si="29"/>
        <v>622.38431447633775</v>
      </c>
      <c r="K234" s="25">
        <f t="shared" si="24"/>
        <v>184600.57940360587</v>
      </c>
      <c r="M234" s="26" t="e">
        <f t="shared" si="30"/>
        <v>#DIV/0!</v>
      </c>
      <c r="N234" s="1">
        <f t="shared" si="25"/>
        <v>0</v>
      </c>
      <c r="O234" s="44">
        <f t="shared" si="31"/>
        <v>0</v>
      </c>
    </row>
    <row r="235" spans="1:15" x14ac:dyDescent="0.25">
      <c r="A235" s="24">
        <f t="shared" si="26"/>
        <v>45809</v>
      </c>
      <c r="B235" s="62"/>
      <c r="C235" s="62"/>
      <c r="D235" s="62"/>
      <c r="E235" s="61"/>
      <c r="F235" s="61"/>
      <c r="G235" s="46">
        <f t="shared" si="27"/>
        <v>0</v>
      </c>
      <c r="H235" s="22" t="e">
        <f t="shared" si="28"/>
        <v>#DIV/0!</v>
      </c>
      <c r="I235" s="23">
        <f>'1 - Amortisation'!G206</f>
        <v>183973.52720677096</v>
      </c>
      <c r="J235" s="25">
        <f t="shared" si="29"/>
        <v>627.05219683490577</v>
      </c>
      <c r="K235" s="25">
        <f t="shared" si="24"/>
        <v>183973.52720677096</v>
      </c>
      <c r="M235" s="26" t="e">
        <f t="shared" si="30"/>
        <v>#DIV/0!</v>
      </c>
      <c r="N235" s="1">
        <f t="shared" si="25"/>
        <v>0</v>
      </c>
      <c r="O235" s="44">
        <f t="shared" si="31"/>
        <v>0</v>
      </c>
    </row>
    <row r="236" spans="1:15" x14ac:dyDescent="0.25">
      <c r="A236" s="24">
        <f t="shared" si="26"/>
        <v>45839</v>
      </c>
      <c r="B236" s="62"/>
      <c r="C236" s="62"/>
      <c r="D236" s="62"/>
      <c r="E236" s="61"/>
      <c r="F236" s="61"/>
      <c r="G236" s="46">
        <f t="shared" si="27"/>
        <v>0</v>
      </c>
      <c r="H236" s="22" t="e">
        <f t="shared" si="28"/>
        <v>#DIV/0!</v>
      </c>
      <c r="I236" s="23">
        <f>'1 - Amortisation'!G207</f>
        <v>183341.77211845978</v>
      </c>
      <c r="J236" s="25">
        <f t="shared" si="29"/>
        <v>631.7550883111835</v>
      </c>
      <c r="K236" s="25">
        <f t="shared" si="24"/>
        <v>183341.77211845978</v>
      </c>
      <c r="M236" s="26" t="e">
        <f t="shared" si="30"/>
        <v>#DIV/0!</v>
      </c>
      <c r="N236" s="1">
        <f t="shared" si="25"/>
        <v>0</v>
      </c>
      <c r="O236" s="44">
        <f t="shared" si="31"/>
        <v>0</v>
      </c>
    </row>
    <row r="237" spans="1:15" x14ac:dyDescent="0.25">
      <c r="A237" s="24">
        <f t="shared" si="26"/>
        <v>45870</v>
      </c>
      <c r="B237" s="62"/>
      <c r="C237" s="62"/>
      <c r="D237" s="62"/>
      <c r="E237" s="61"/>
      <c r="F237" s="61"/>
      <c r="G237" s="46">
        <f t="shared" si="27"/>
        <v>0</v>
      </c>
      <c r="H237" s="22" t="e">
        <f t="shared" si="28"/>
        <v>#DIV/0!</v>
      </c>
      <c r="I237" s="23">
        <f>'1 - Amortisation'!G208</f>
        <v>182705.27886698628</v>
      </c>
      <c r="J237" s="25">
        <f t="shared" si="29"/>
        <v>636.49325147349737</v>
      </c>
      <c r="K237" s="25">
        <f t="shared" si="24"/>
        <v>182705.27886698628</v>
      </c>
      <c r="M237" s="26" t="e">
        <f t="shared" si="30"/>
        <v>#DIV/0!</v>
      </c>
      <c r="N237" s="1">
        <f t="shared" si="25"/>
        <v>0</v>
      </c>
      <c r="O237" s="44">
        <f t="shared" si="31"/>
        <v>0</v>
      </c>
    </row>
    <row r="238" spans="1:15" x14ac:dyDescent="0.25">
      <c r="A238" s="24">
        <f t="shared" si="26"/>
        <v>45901</v>
      </c>
      <c r="B238" s="62"/>
      <c r="C238" s="62"/>
      <c r="D238" s="62"/>
      <c r="E238" s="61"/>
      <c r="F238" s="61"/>
      <c r="G238" s="46">
        <f t="shared" si="27"/>
        <v>0</v>
      </c>
      <c r="H238" s="22" t="e">
        <f t="shared" si="28"/>
        <v>#DIV/0!</v>
      </c>
      <c r="I238" s="23">
        <f>'1 - Amortisation'!G209</f>
        <v>182064.01191612671</v>
      </c>
      <c r="J238" s="25">
        <f t="shared" si="29"/>
        <v>641.26695085957181</v>
      </c>
      <c r="K238" s="25">
        <f t="shared" si="24"/>
        <v>182064.01191612671</v>
      </c>
      <c r="M238" s="26" t="e">
        <f t="shared" si="30"/>
        <v>#DIV/0!</v>
      </c>
      <c r="N238" s="1">
        <f t="shared" si="25"/>
        <v>0</v>
      </c>
      <c r="O238" s="44">
        <f t="shared" si="31"/>
        <v>0</v>
      </c>
    </row>
    <row r="239" spans="1:15" x14ac:dyDescent="0.25">
      <c r="A239" s="24">
        <f t="shared" si="26"/>
        <v>45931</v>
      </c>
      <c r="B239" s="62"/>
      <c r="C239" s="62"/>
      <c r="D239" s="62"/>
      <c r="E239" s="61"/>
      <c r="F239" s="61"/>
      <c r="G239" s="46">
        <f t="shared" si="27"/>
        <v>0</v>
      </c>
      <c r="H239" s="22" t="e">
        <f t="shared" si="28"/>
        <v>#DIV/0!</v>
      </c>
      <c r="I239" s="23">
        <f>'1 - Amortisation'!G210</f>
        <v>181417.93546313571</v>
      </c>
      <c r="J239" s="25">
        <f t="shared" si="29"/>
        <v>646.07645299099386</v>
      </c>
      <c r="K239" s="25">
        <f t="shared" si="24"/>
        <v>181417.93546313571</v>
      </c>
      <c r="M239" s="26" t="e">
        <f t="shared" si="30"/>
        <v>#DIV/0!</v>
      </c>
      <c r="N239" s="1">
        <f t="shared" si="25"/>
        <v>0</v>
      </c>
      <c r="O239" s="44">
        <f t="shared" si="31"/>
        <v>0</v>
      </c>
    </row>
    <row r="240" spans="1:15" x14ac:dyDescent="0.25">
      <c r="A240" s="24">
        <f t="shared" si="26"/>
        <v>45962</v>
      </c>
      <c r="B240" s="62"/>
      <c r="C240" s="62"/>
      <c r="D240" s="62"/>
      <c r="E240" s="61"/>
      <c r="F240" s="61"/>
      <c r="G240" s="46">
        <f t="shared" si="27"/>
        <v>0</v>
      </c>
      <c r="H240" s="22" t="e">
        <f t="shared" si="28"/>
        <v>#DIV/0!</v>
      </c>
      <c r="I240" s="23">
        <f>'1 - Amortisation'!G211</f>
        <v>180767.01343674728</v>
      </c>
      <c r="J240" s="25">
        <f t="shared" si="29"/>
        <v>650.92202638843446</v>
      </c>
      <c r="K240" s="25">
        <f t="shared" si="24"/>
        <v>180767.01343674728</v>
      </c>
      <c r="M240" s="26" t="e">
        <f t="shared" si="30"/>
        <v>#DIV/0!</v>
      </c>
      <c r="N240" s="1">
        <f t="shared" si="25"/>
        <v>0</v>
      </c>
      <c r="O240" s="44">
        <f t="shared" si="31"/>
        <v>0</v>
      </c>
    </row>
    <row r="241" spans="1:15" x14ac:dyDescent="0.25">
      <c r="A241" s="24">
        <f t="shared" si="26"/>
        <v>45992</v>
      </c>
      <c r="B241" s="62"/>
      <c r="C241" s="62"/>
      <c r="D241" s="62"/>
      <c r="E241" s="61"/>
      <c r="F241" s="61"/>
      <c r="G241" s="46">
        <f t="shared" si="27"/>
        <v>0</v>
      </c>
      <c r="H241" s="22" t="e">
        <f t="shared" si="28"/>
        <v>#DIV/0!</v>
      </c>
      <c r="I241" s="23">
        <f>'1 - Amortisation'!G212</f>
        <v>180111.20949516093</v>
      </c>
      <c r="J241" s="25">
        <f t="shared" si="29"/>
        <v>655.8039415863459</v>
      </c>
      <c r="K241" s="25">
        <f t="shared" si="24"/>
        <v>180111.20949516093</v>
      </c>
      <c r="M241" s="26" t="e">
        <f t="shared" si="30"/>
        <v>#DIV/0!</v>
      </c>
      <c r="N241" s="1">
        <f t="shared" si="25"/>
        <v>0</v>
      </c>
      <c r="O241" s="44">
        <f t="shared" si="31"/>
        <v>0</v>
      </c>
    </row>
    <row r="242" spans="1:15" x14ac:dyDescent="0.25">
      <c r="A242" s="24">
        <f t="shared" si="26"/>
        <v>46023</v>
      </c>
      <c r="B242" s="62"/>
      <c r="C242" s="62"/>
      <c r="D242" s="62"/>
      <c r="E242" s="61"/>
      <c r="F242" s="61"/>
      <c r="G242" s="46">
        <f t="shared" si="27"/>
        <v>0</v>
      </c>
      <c r="H242" s="22" t="e">
        <f t="shared" si="28"/>
        <v>#DIV/0!</v>
      </c>
      <c r="I242" s="23">
        <f>'1 - Amortisation'!G213</f>
        <v>179450.48702401269</v>
      </c>
      <c r="J242" s="25">
        <f t="shared" si="29"/>
        <v>660.72247114824131</v>
      </c>
      <c r="K242" s="25">
        <f t="shared" si="24"/>
        <v>179450.48702401269</v>
      </c>
      <c r="M242" s="26" t="e">
        <f t="shared" si="30"/>
        <v>#DIV/0!</v>
      </c>
      <c r="N242" s="1">
        <f t="shared" si="25"/>
        <v>0</v>
      </c>
      <c r="O242" s="44">
        <f t="shared" si="31"/>
        <v>0</v>
      </c>
    </row>
    <row r="243" spans="1:15" x14ac:dyDescent="0.25">
      <c r="A243" s="24">
        <f t="shared" si="26"/>
        <v>46054</v>
      </c>
      <c r="B243" s="62"/>
      <c r="C243" s="62"/>
      <c r="D243" s="62"/>
      <c r="E243" s="61"/>
      <c r="F243" s="61"/>
      <c r="G243" s="46">
        <f t="shared" si="27"/>
        <v>0</v>
      </c>
      <c r="H243" s="22" t="e">
        <f t="shared" si="28"/>
        <v>#DIV/0!</v>
      </c>
      <c r="I243" s="23">
        <f>'1 - Amortisation'!G214</f>
        <v>178784.80913433083</v>
      </c>
      <c r="J243" s="25">
        <f t="shared" si="29"/>
        <v>665.67788968185778</v>
      </c>
      <c r="K243" s="25">
        <f t="shared" si="24"/>
        <v>178784.80913433083</v>
      </c>
      <c r="M243" s="26" t="e">
        <f t="shared" si="30"/>
        <v>#DIV/0!</v>
      </c>
      <c r="N243" s="1">
        <f t="shared" si="25"/>
        <v>0</v>
      </c>
      <c r="O243" s="44">
        <f t="shared" si="31"/>
        <v>0</v>
      </c>
    </row>
    <row r="244" spans="1:15" x14ac:dyDescent="0.25">
      <c r="A244" s="24">
        <f t="shared" si="26"/>
        <v>46082</v>
      </c>
      <c r="B244" s="62"/>
      <c r="C244" s="62"/>
      <c r="D244" s="62"/>
      <c r="E244" s="61"/>
      <c r="F244" s="61"/>
      <c r="G244" s="46">
        <f t="shared" si="27"/>
        <v>0</v>
      </c>
      <c r="H244" s="22" t="e">
        <f t="shared" si="28"/>
        <v>#DIV/0!</v>
      </c>
      <c r="I244" s="23">
        <f>'1 - Amortisation'!G215</f>
        <v>178114.13866047637</v>
      </c>
      <c r="J244" s="25">
        <f t="shared" si="29"/>
        <v>670.67047385446494</v>
      </c>
      <c r="K244" s="25">
        <f t="shared" si="24"/>
        <v>178114.13866047637</v>
      </c>
      <c r="M244" s="26" t="e">
        <f t="shared" si="30"/>
        <v>#DIV/0!</v>
      </c>
      <c r="N244" s="1">
        <f t="shared" si="25"/>
        <v>0</v>
      </c>
      <c r="O244" s="44">
        <f t="shared" si="31"/>
        <v>0</v>
      </c>
    </row>
    <row r="245" spans="1:15" x14ac:dyDescent="0.25">
      <c r="A245" s="24">
        <f t="shared" si="26"/>
        <v>46113</v>
      </c>
      <c r="B245" s="62"/>
      <c r="C245" s="62"/>
      <c r="D245" s="62"/>
      <c r="E245" s="61"/>
      <c r="F245" s="61"/>
      <c r="G245" s="46">
        <f t="shared" si="27"/>
        <v>0</v>
      </c>
      <c r="H245" s="22" t="e">
        <f t="shared" si="28"/>
        <v>#DIV/0!</v>
      </c>
      <c r="I245" s="23">
        <f>'1 - Amortisation'!G216</f>
        <v>177438.43815806799</v>
      </c>
      <c r="J245" s="25">
        <f t="shared" si="29"/>
        <v>675.70050240837736</v>
      </c>
      <c r="K245" s="25">
        <f t="shared" ref="K245:K308" si="32">I245-F245</f>
        <v>177438.43815806799</v>
      </c>
      <c r="M245" s="26" t="e">
        <f t="shared" si="30"/>
        <v>#DIV/0!</v>
      </c>
      <c r="N245" s="1">
        <f t="shared" si="25"/>
        <v>0</v>
      </c>
      <c r="O245" s="44">
        <f t="shared" si="31"/>
        <v>0</v>
      </c>
    </row>
    <row r="246" spans="1:15" x14ac:dyDescent="0.25">
      <c r="A246" s="24">
        <f t="shared" si="26"/>
        <v>46143</v>
      </c>
      <c r="B246" s="62"/>
      <c r="C246" s="62"/>
      <c r="D246" s="62"/>
      <c r="E246" s="61"/>
      <c r="F246" s="61"/>
      <c r="G246" s="46">
        <f t="shared" si="27"/>
        <v>0</v>
      </c>
      <c r="H246" s="22" t="e">
        <f t="shared" si="28"/>
        <v>#DIV/0!</v>
      </c>
      <c r="I246" s="23">
        <f>'1 - Amortisation'!G217</f>
        <v>176757.66990189155</v>
      </c>
      <c r="J246" s="25">
        <f t="shared" si="29"/>
        <v>680.76825617643772</v>
      </c>
      <c r="K246" s="25">
        <f t="shared" si="32"/>
        <v>176757.66990189155</v>
      </c>
      <c r="M246" s="26" t="e">
        <f t="shared" si="30"/>
        <v>#DIV/0!</v>
      </c>
      <c r="N246" s="1">
        <f t="shared" si="25"/>
        <v>0</v>
      </c>
      <c r="O246" s="44">
        <f t="shared" si="31"/>
        <v>0</v>
      </c>
    </row>
    <row r="247" spans="1:15" x14ac:dyDescent="0.25">
      <c r="A247" s="24">
        <f t="shared" si="26"/>
        <v>46174</v>
      </c>
      <c r="B247" s="62"/>
      <c r="C247" s="62"/>
      <c r="D247" s="62"/>
      <c r="E247" s="61"/>
      <c r="F247" s="61"/>
      <c r="G247" s="46">
        <f t="shared" si="27"/>
        <v>0</v>
      </c>
      <c r="H247" s="22" t="e">
        <f t="shared" si="28"/>
        <v>#DIV/0!</v>
      </c>
      <c r="I247" s="23">
        <f>'1 - Amortisation'!G218</f>
        <v>176071.79588379379</v>
      </c>
      <c r="J247" s="25">
        <f t="shared" si="29"/>
        <v>685.87401809776202</v>
      </c>
      <c r="K247" s="25">
        <f t="shared" si="32"/>
        <v>176071.79588379379</v>
      </c>
      <c r="M247" s="26" t="e">
        <f t="shared" si="30"/>
        <v>#DIV/0!</v>
      </c>
      <c r="N247" s="1">
        <f t="shared" si="25"/>
        <v>0</v>
      </c>
      <c r="O247" s="44">
        <f t="shared" si="31"/>
        <v>0</v>
      </c>
    </row>
    <row r="248" spans="1:15" x14ac:dyDescent="0.25">
      <c r="A248" s="24">
        <f t="shared" si="26"/>
        <v>46204</v>
      </c>
      <c r="B248" s="62"/>
      <c r="C248" s="62"/>
      <c r="D248" s="62"/>
      <c r="E248" s="61"/>
      <c r="F248" s="61"/>
      <c r="G248" s="46">
        <f t="shared" si="27"/>
        <v>0</v>
      </c>
      <c r="H248" s="22" t="e">
        <f t="shared" si="28"/>
        <v>#DIV/0!</v>
      </c>
      <c r="I248" s="23">
        <f>'1 - Amortisation'!G219</f>
        <v>175380.77781056028</v>
      </c>
      <c r="J248" s="25">
        <f t="shared" si="29"/>
        <v>691.01807323351386</v>
      </c>
      <c r="K248" s="25">
        <f t="shared" si="32"/>
        <v>175380.77781056028</v>
      </c>
      <c r="M248" s="26" t="e">
        <f t="shared" si="30"/>
        <v>#DIV/0!</v>
      </c>
      <c r="N248" s="1">
        <f t="shared" si="25"/>
        <v>0</v>
      </c>
      <c r="O248" s="44">
        <f t="shared" si="31"/>
        <v>0</v>
      </c>
    </row>
    <row r="249" spans="1:15" x14ac:dyDescent="0.25">
      <c r="A249" s="24">
        <f t="shared" si="26"/>
        <v>46235</v>
      </c>
      <c r="B249" s="62"/>
      <c r="C249" s="62"/>
      <c r="D249" s="62"/>
      <c r="E249" s="61"/>
      <c r="F249" s="61"/>
      <c r="G249" s="46">
        <f t="shared" si="27"/>
        <v>0</v>
      </c>
      <c r="H249" s="22" t="e">
        <f t="shared" si="28"/>
        <v>#DIV/0!</v>
      </c>
      <c r="I249" s="23">
        <f>'1 - Amortisation'!G220</f>
        <v>174684.57710177751</v>
      </c>
      <c r="J249" s="25">
        <f t="shared" si="29"/>
        <v>696.20070878276601</v>
      </c>
      <c r="K249" s="25">
        <f t="shared" si="32"/>
        <v>174684.57710177751</v>
      </c>
      <c r="M249" s="26" t="e">
        <f t="shared" si="30"/>
        <v>#DIV/0!</v>
      </c>
      <c r="N249" s="1">
        <f t="shared" si="25"/>
        <v>0</v>
      </c>
      <c r="O249" s="44">
        <f t="shared" si="31"/>
        <v>0</v>
      </c>
    </row>
    <row r="250" spans="1:15" x14ac:dyDescent="0.25">
      <c r="A250" s="24">
        <f t="shared" si="26"/>
        <v>46266</v>
      </c>
      <c r="B250" s="62"/>
      <c r="C250" s="62"/>
      <c r="D250" s="62"/>
      <c r="E250" s="61"/>
      <c r="F250" s="61"/>
      <c r="G250" s="46">
        <f t="shared" si="27"/>
        <v>0</v>
      </c>
      <c r="H250" s="22" t="e">
        <f t="shared" si="28"/>
        <v>#DIV/0!</v>
      </c>
      <c r="I250" s="23">
        <f>'1 - Amortisation'!G221</f>
        <v>173983.15488767889</v>
      </c>
      <c r="J250" s="25">
        <f t="shared" si="29"/>
        <v>701.42221409862395</v>
      </c>
      <c r="K250" s="25">
        <f t="shared" si="32"/>
        <v>173983.15488767889</v>
      </c>
      <c r="M250" s="26" t="e">
        <f t="shared" si="30"/>
        <v>#DIV/0!</v>
      </c>
      <c r="N250" s="1">
        <f t="shared" si="25"/>
        <v>0</v>
      </c>
      <c r="O250" s="44">
        <f t="shared" si="31"/>
        <v>0</v>
      </c>
    </row>
    <row r="251" spans="1:15" x14ac:dyDescent="0.25">
      <c r="A251" s="24">
        <f t="shared" si="26"/>
        <v>46296</v>
      </c>
      <c r="B251" s="62"/>
      <c r="C251" s="62"/>
      <c r="D251" s="62"/>
      <c r="E251" s="61"/>
      <c r="F251" s="61"/>
      <c r="G251" s="46">
        <f t="shared" si="27"/>
        <v>0</v>
      </c>
      <c r="H251" s="22" t="e">
        <f t="shared" si="28"/>
        <v>#DIV/0!</v>
      </c>
      <c r="I251" s="23">
        <f>'1 - Amortisation'!G222</f>
        <v>173276.47200697454</v>
      </c>
      <c r="J251" s="25">
        <f t="shared" si="29"/>
        <v>706.68288070434937</v>
      </c>
      <c r="K251" s="25">
        <f t="shared" si="32"/>
        <v>173276.47200697454</v>
      </c>
      <c r="M251" s="26" t="e">
        <f t="shared" si="30"/>
        <v>#DIV/0!</v>
      </c>
      <c r="N251" s="1">
        <f t="shared" si="25"/>
        <v>0</v>
      </c>
      <c r="O251" s="44">
        <f t="shared" si="31"/>
        <v>0</v>
      </c>
    </row>
    <row r="252" spans="1:15" x14ac:dyDescent="0.25">
      <c r="A252" s="24">
        <f t="shared" si="26"/>
        <v>46327</v>
      </c>
      <c r="B252" s="62"/>
      <c r="C252" s="62"/>
      <c r="D252" s="62"/>
      <c r="E252" s="61"/>
      <c r="F252" s="61"/>
      <c r="G252" s="46">
        <f t="shared" si="27"/>
        <v>0</v>
      </c>
      <c r="H252" s="22" t="e">
        <f t="shared" si="28"/>
        <v>#DIV/0!</v>
      </c>
      <c r="I252" s="23">
        <f>'1 - Amortisation'!G223</f>
        <v>172564.48900466488</v>
      </c>
      <c r="J252" s="25">
        <f t="shared" si="29"/>
        <v>711.98300230965833</v>
      </c>
      <c r="K252" s="25">
        <f t="shared" si="32"/>
        <v>172564.48900466488</v>
      </c>
      <c r="M252" s="26" t="e">
        <f t="shared" si="30"/>
        <v>#DIV/0!</v>
      </c>
      <c r="N252" s="1">
        <f t="shared" si="25"/>
        <v>0</v>
      </c>
      <c r="O252" s="44">
        <f t="shared" si="31"/>
        <v>0</v>
      </c>
    </row>
    <row r="253" spans="1:15" x14ac:dyDescent="0.25">
      <c r="A253" s="24">
        <f t="shared" si="26"/>
        <v>46357</v>
      </c>
      <c r="B253" s="62"/>
      <c r="C253" s="62"/>
      <c r="D253" s="62"/>
      <c r="E253" s="61"/>
      <c r="F253" s="61"/>
      <c r="G253" s="46">
        <f t="shared" si="27"/>
        <v>0</v>
      </c>
      <c r="H253" s="22" t="e">
        <f t="shared" si="28"/>
        <v>#DIV/0!</v>
      </c>
      <c r="I253" s="23">
        <f>'1 - Amortisation'!G224</f>
        <v>171847.16612983792</v>
      </c>
      <c r="J253" s="25">
        <f t="shared" si="29"/>
        <v>717.3228748269612</v>
      </c>
      <c r="K253" s="25">
        <f t="shared" si="32"/>
        <v>171847.16612983792</v>
      </c>
      <c r="M253" s="26" t="e">
        <f t="shared" si="30"/>
        <v>#DIV/0!</v>
      </c>
      <c r="N253" s="1">
        <f t="shared" si="25"/>
        <v>0</v>
      </c>
      <c r="O253" s="44">
        <f t="shared" si="31"/>
        <v>0</v>
      </c>
    </row>
    <row r="254" spans="1:15" x14ac:dyDescent="0.25">
      <c r="A254" s="24">
        <f t="shared" si="26"/>
        <v>46388</v>
      </c>
      <c r="B254" s="62"/>
      <c r="C254" s="62"/>
      <c r="D254" s="62"/>
      <c r="E254" s="61"/>
      <c r="F254" s="61"/>
      <c r="G254" s="46">
        <f t="shared" si="27"/>
        <v>0</v>
      </c>
      <c r="H254" s="22" t="e">
        <f t="shared" si="28"/>
        <v>#DIV/0!</v>
      </c>
      <c r="I254" s="23">
        <f>'1 - Amortisation'!G225</f>
        <v>171124.46333344973</v>
      </c>
      <c r="J254" s="25">
        <f t="shared" si="29"/>
        <v>722.70279638818465</v>
      </c>
      <c r="K254" s="25">
        <f t="shared" si="32"/>
        <v>171124.46333344973</v>
      </c>
      <c r="M254" s="26" t="e">
        <f t="shared" si="30"/>
        <v>#DIV/0!</v>
      </c>
      <c r="N254" s="1">
        <f t="shared" si="25"/>
        <v>0</v>
      </c>
      <c r="O254" s="44">
        <f t="shared" si="31"/>
        <v>0</v>
      </c>
    </row>
    <row r="255" spans="1:15" x14ac:dyDescent="0.25">
      <c r="A255" s="24">
        <f t="shared" si="26"/>
        <v>46419</v>
      </c>
      <c r="B255" s="62"/>
      <c r="C255" s="62"/>
      <c r="D255" s="62"/>
      <c r="E255" s="61"/>
      <c r="F255" s="61"/>
      <c r="G255" s="46">
        <f t="shared" si="27"/>
        <v>0</v>
      </c>
      <c r="H255" s="22" t="e">
        <f t="shared" si="28"/>
        <v>#DIV/0!</v>
      </c>
      <c r="I255" s="23">
        <f>'1 - Amortisation'!G226</f>
        <v>170396.34026608866</v>
      </c>
      <c r="J255" s="25">
        <f t="shared" si="29"/>
        <v>728.12306736106984</v>
      </c>
      <c r="K255" s="25">
        <f t="shared" si="32"/>
        <v>170396.34026608866</v>
      </c>
      <c r="M255" s="26" t="e">
        <f t="shared" si="30"/>
        <v>#DIV/0!</v>
      </c>
      <c r="N255" s="1">
        <f t="shared" si="25"/>
        <v>0</v>
      </c>
      <c r="O255" s="44">
        <f t="shared" si="31"/>
        <v>0</v>
      </c>
    </row>
    <row r="256" spans="1:15" x14ac:dyDescent="0.25">
      <c r="A256" s="24">
        <f t="shared" si="26"/>
        <v>46447</v>
      </c>
      <c r="B256" s="62"/>
      <c r="C256" s="62"/>
      <c r="D256" s="62"/>
      <c r="E256" s="61"/>
      <c r="F256" s="61"/>
      <c r="G256" s="46">
        <f t="shared" si="27"/>
        <v>0</v>
      </c>
      <c r="H256" s="22" t="e">
        <f t="shared" si="28"/>
        <v>#DIV/0!</v>
      </c>
      <c r="I256" s="23">
        <f>'1 - Amortisation'!G227</f>
        <v>169662.75627572238</v>
      </c>
      <c r="J256" s="25">
        <f t="shared" si="29"/>
        <v>733.58399036628543</v>
      </c>
      <c r="K256" s="25">
        <f t="shared" si="32"/>
        <v>169662.75627572238</v>
      </c>
      <c r="M256" s="26" t="e">
        <f t="shared" si="30"/>
        <v>#DIV/0!</v>
      </c>
      <c r="N256" s="1">
        <f t="shared" si="25"/>
        <v>0</v>
      </c>
      <c r="O256" s="44">
        <f t="shared" si="31"/>
        <v>0</v>
      </c>
    </row>
    <row r="257" spans="1:15" x14ac:dyDescent="0.25">
      <c r="A257" s="24">
        <f t="shared" si="26"/>
        <v>46478</v>
      </c>
      <c r="B257" s="62"/>
      <c r="C257" s="62"/>
      <c r="D257" s="62"/>
      <c r="E257" s="61"/>
      <c r="F257" s="61"/>
      <c r="G257" s="46">
        <f t="shared" si="27"/>
        <v>0</v>
      </c>
      <c r="H257" s="22" t="e">
        <f t="shared" si="28"/>
        <v>#DIV/0!</v>
      </c>
      <c r="I257" s="23">
        <f>'1 - Amortisation'!G228</f>
        <v>168923.67040542833</v>
      </c>
      <c r="J257" s="25">
        <f t="shared" si="29"/>
        <v>739.08587029404589</v>
      </c>
      <c r="K257" s="25">
        <f t="shared" si="32"/>
        <v>168923.67040542833</v>
      </c>
      <c r="M257" s="26" t="e">
        <f t="shared" si="30"/>
        <v>#DIV/0!</v>
      </c>
      <c r="N257" s="1">
        <f t="shared" si="25"/>
        <v>0</v>
      </c>
      <c r="O257" s="44">
        <f t="shared" si="31"/>
        <v>0</v>
      </c>
    </row>
    <row r="258" spans="1:15" x14ac:dyDescent="0.25">
      <c r="A258" s="24">
        <f t="shared" si="26"/>
        <v>46508</v>
      </c>
      <c r="B258" s="62"/>
      <c r="C258" s="62"/>
      <c r="D258" s="62"/>
      <c r="E258" s="61"/>
      <c r="F258" s="61"/>
      <c r="G258" s="46">
        <f t="shared" si="27"/>
        <v>0</v>
      </c>
      <c r="H258" s="22" t="e">
        <f t="shared" si="28"/>
        <v>#DIV/0!</v>
      </c>
      <c r="I258" s="23">
        <f>'1 - Amortisation'!G229</f>
        <v>168179.04139110708</v>
      </c>
      <c r="J258" s="25">
        <f t="shared" si="29"/>
        <v>744.62901432125363</v>
      </c>
      <c r="K258" s="25">
        <f t="shared" si="32"/>
        <v>168179.04139110708</v>
      </c>
      <c r="M258" s="26" t="e">
        <f t="shared" si="30"/>
        <v>#DIV/0!</v>
      </c>
      <c r="N258" s="1">
        <f t="shared" si="25"/>
        <v>0</v>
      </c>
      <c r="O258" s="44">
        <f t="shared" si="31"/>
        <v>0</v>
      </c>
    </row>
    <row r="259" spans="1:15" x14ac:dyDescent="0.25">
      <c r="A259" s="24">
        <f t="shared" si="26"/>
        <v>46539</v>
      </c>
      <c r="B259" s="62"/>
      <c r="C259" s="62"/>
      <c r="D259" s="62"/>
      <c r="E259" s="61"/>
      <c r="F259" s="61"/>
      <c r="G259" s="46">
        <f t="shared" si="27"/>
        <v>0</v>
      </c>
      <c r="H259" s="22" t="e">
        <f t="shared" si="28"/>
        <v>#DIV/0!</v>
      </c>
      <c r="I259" s="23">
        <f>'1 - Amortisation'!G230</f>
        <v>167428.82765917844</v>
      </c>
      <c r="J259" s="25">
        <f t="shared" si="29"/>
        <v>750.21373192864121</v>
      </c>
      <c r="K259" s="25">
        <f t="shared" si="32"/>
        <v>167428.82765917844</v>
      </c>
      <c r="M259" s="26" t="e">
        <f t="shared" si="30"/>
        <v>#DIV/0!</v>
      </c>
      <c r="N259" s="1">
        <f t="shared" si="25"/>
        <v>0</v>
      </c>
      <c r="O259" s="44">
        <f t="shared" si="31"/>
        <v>0</v>
      </c>
    </row>
    <row r="260" spans="1:15" x14ac:dyDescent="0.25">
      <c r="A260" s="24">
        <f t="shared" si="26"/>
        <v>46569</v>
      </c>
      <c r="B260" s="62"/>
      <c r="C260" s="62"/>
      <c r="D260" s="62"/>
      <c r="E260" s="61"/>
      <c r="F260" s="61"/>
      <c r="G260" s="46">
        <f t="shared" si="27"/>
        <v>0</v>
      </c>
      <c r="H260" s="22" t="e">
        <f t="shared" si="28"/>
        <v>#DIV/0!</v>
      </c>
      <c r="I260" s="23">
        <f>'1 - Amortisation'!G231</f>
        <v>166672.98732426032</v>
      </c>
      <c r="J260" s="25">
        <f t="shared" si="29"/>
        <v>755.84033491811715</v>
      </c>
      <c r="K260" s="25">
        <f t="shared" si="32"/>
        <v>166672.98732426032</v>
      </c>
      <c r="M260" s="26" t="e">
        <f t="shared" si="30"/>
        <v>#DIV/0!</v>
      </c>
      <c r="N260" s="1">
        <f t="shared" si="25"/>
        <v>0</v>
      </c>
      <c r="O260" s="44">
        <f t="shared" si="31"/>
        <v>0</v>
      </c>
    </row>
    <row r="261" spans="1:15" x14ac:dyDescent="0.25">
      <c r="A261" s="24">
        <f t="shared" si="26"/>
        <v>46600</v>
      </c>
      <c r="B261" s="62"/>
      <c r="C261" s="62"/>
      <c r="D261" s="62"/>
      <c r="E261" s="61"/>
      <c r="F261" s="61"/>
      <c r="G261" s="46">
        <f t="shared" si="27"/>
        <v>0</v>
      </c>
      <c r="H261" s="22" t="e">
        <f t="shared" si="28"/>
        <v>#DIV/0!</v>
      </c>
      <c r="I261" s="23">
        <f>'1 - Amortisation'!G232</f>
        <v>165911.47818683033</v>
      </c>
      <c r="J261" s="25">
        <f t="shared" si="29"/>
        <v>761.50913742999546</v>
      </c>
      <c r="K261" s="25">
        <f t="shared" si="32"/>
        <v>165911.47818683033</v>
      </c>
      <c r="M261" s="26" t="e">
        <f t="shared" si="30"/>
        <v>#DIV/0!</v>
      </c>
      <c r="N261" s="1">
        <f t="shared" si="25"/>
        <v>0</v>
      </c>
      <c r="O261" s="44">
        <f t="shared" si="31"/>
        <v>0</v>
      </c>
    </row>
    <row r="262" spans="1:15" x14ac:dyDescent="0.25">
      <c r="A262" s="24">
        <f t="shared" si="26"/>
        <v>46631</v>
      </c>
      <c r="B262" s="62"/>
      <c r="C262" s="62"/>
      <c r="D262" s="62"/>
      <c r="E262" s="61"/>
      <c r="F262" s="61"/>
      <c r="G262" s="46">
        <f t="shared" si="27"/>
        <v>0</v>
      </c>
      <c r="H262" s="22" t="e">
        <f t="shared" si="28"/>
        <v>#DIV/0!</v>
      </c>
      <c r="I262" s="23">
        <f>'1 - Amortisation'!G233</f>
        <v>165144.25773086961</v>
      </c>
      <c r="J262" s="25">
        <f t="shared" si="29"/>
        <v>767.22045596071985</v>
      </c>
      <c r="K262" s="25">
        <f t="shared" si="32"/>
        <v>165144.25773086961</v>
      </c>
      <c r="M262" s="26" t="e">
        <f t="shared" si="30"/>
        <v>#DIV/0!</v>
      </c>
      <c r="N262" s="1">
        <f t="shared" si="25"/>
        <v>0</v>
      </c>
      <c r="O262" s="44">
        <f t="shared" si="31"/>
        <v>0</v>
      </c>
    </row>
    <row r="263" spans="1:15" x14ac:dyDescent="0.25">
      <c r="A263" s="24">
        <f t="shared" si="26"/>
        <v>46661</v>
      </c>
      <c r="B263" s="62"/>
      <c r="C263" s="62"/>
      <c r="D263" s="62"/>
      <c r="E263" s="61"/>
      <c r="F263" s="61"/>
      <c r="G263" s="46">
        <f t="shared" si="27"/>
        <v>0</v>
      </c>
      <c r="H263" s="22" t="e">
        <f t="shared" si="28"/>
        <v>#DIV/0!</v>
      </c>
      <c r="I263" s="23">
        <f>'1 - Amortisation'!G234</f>
        <v>164371.28312148916</v>
      </c>
      <c r="J263" s="25">
        <f t="shared" si="29"/>
        <v>772.97460938044242</v>
      </c>
      <c r="K263" s="25">
        <f t="shared" si="32"/>
        <v>164371.28312148916</v>
      </c>
      <c r="M263" s="26" t="e">
        <f t="shared" si="30"/>
        <v>#DIV/0!</v>
      </c>
      <c r="N263" s="1">
        <f t="shared" si="25"/>
        <v>0</v>
      </c>
      <c r="O263" s="44">
        <f t="shared" si="31"/>
        <v>0</v>
      </c>
    </row>
    <row r="264" spans="1:15" x14ac:dyDescent="0.25">
      <c r="A264" s="24">
        <f t="shared" si="26"/>
        <v>46692</v>
      </c>
      <c r="B264" s="62"/>
      <c r="C264" s="62"/>
      <c r="D264" s="62"/>
      <c r="E264" s="61"/>
      <c r="F264" s="61"/>
      <c r="G264" s="46">
        <f t="shared" si="27"/>
        <v>0</v>
      </c>
      <c r="H264" s="22" t="e">
        <f t="shared" si="28"/>
        <v>#DIV/0!</v>
      </c>
      <c r="I264" s="23">
        <f>'1 - Amortisation'!G235</f>
        <v>163592.51120253839</v>
      </c>
      <c r="J264" s="25">
        <f t="shared" si="29"/>
        <v>778.77191895077704</v>
      </c>
      <c r="K264" s="25">
        <f t="shared" si="32"/>
        <v>163592.51120253839</v>
      </c>
      <c r="M264" s="26" t="e">
        <f t="shared" si="30"/>
        <v>#DIV/0!</v>
      </c>
      <c r="N264" s="1">
        <f t="shared" si="25"/>
        <v>0</v>
      </c>
      <c r="O264" s="44">
        <f t="shared" si="31"/>
        <v>0</v>
      </c>
    </row>
    <row r="265" spans="1:15" x14ac:dyDescent="0.25">
      <c r="A265" s="24">
        <f t="shared" si="26"/>
        <v>46722</v>
      </c>
      <c r="B265" s="62"/>
      <c r="C265" s="62"/>
      <c r="D265" s="62"/>
      <c r="E265" s="61"/>
      <c r="F265" s="61"/>
      <c r="G265" s="46">
        <f t="shared" si="27"/>
        <v>0</v>
      </c>
      <c r="H265" s="22" t="e">
        <f t="shared" si="28"/>
        <v>#DIV/0!</v>
      </c>
      <c r="I265" s="23">
        <f>'1 - Amortisation'!G236</f>
        <v>162807.89849419545</v>
      </c>
      <c r="J265" s="25">
        <f t="shared" si="29"/>
        <v>784.612708342931</v>
      </c>
      <c r="K265" s="25">
        <f t="shared" si="32"/>
        <v>162807.89849419545</v>
      </c>
      <c r="M265" s="26" t="e">
        <f t="shared" si="30"/>
        <v>#DIV/0!</v>
      </c>
      <c r="N265" s="1">
        <f t="shared" si="25"/>
        <v>0</v>
      </c>
      <c r="O265" s="44">
        <f t="shared" si="31"/>
        <v>0</v>
      </c>
    </row>
    <row r="266" spans="1:15" x14ac:dyDescent="0.25">
      <c r="A266" s="24">
        <f t="shared" si="26"/>
        <v>46753</v>
      </c>
      <c r="B266" s="62"/>
      <c r="C266" s="62"/>
      <c r="D266" s="62"/>
      <c r="E266" s="61"/>
      <c r="F266" s="61"/>
      <c r="G266" s="46">
        <f t="shared" si="27"/>
        <v>0</v>
      </c>
      <c r="H266" s="22" t="e">
        <f t="shared" si="28"/>
        <v>#DIV/0!</v>
      </c>
      <c r="I266" s="23">
        <f>'1 - Amortisation'!G237</f>
        <v>162017.40119053997</v>
      </c>
      <c r="J266" s="25">
        <f t="shared" si="29"/>
        <v>790.49730365548749</v>
      </c>
      <c r="K266" s="25">
        <f t="shared" si="32"/>
        <v>162017.40119053997</v>
      </c>
      <c r="M266" s="26" t="e">
        <f t="shared" si="30"/>
        <v>#DIV/0!</v>
      </c>
      <c r="N266" s="1">
        <f t="shared" si="25"/>
        <v>0</v>
      </c>
      <c r="O266" s="44">
        <f t="shared" si="31"/>
        <v>0</v>
      </c>
    </row>
    <row r="267" spans="1:15" x14ac:dyDescent="0.25">
      <c r="A267" s="24">
        <f t="shared" si="26"/>
        <v>46784</v>
      </c>
      <c r="B267" s="62"/>
      <c r="C267" s="62"/>
      <c r="D267" s="62"/>
      <c r="E267" s="61"/>
      <c r="F267" s="61"/>
      <c r="G267" s="46">
        <f t="shared" si="27"/>
        <v>0</v>
      </c>
      <c r="H267" s="22" t="e">
        <f t="shared" si="28"/>
        <v>#DIV/0!</v>
      </c>
      <c r="I267" s="23">
        <f>'1 - Amortisation'!G238</f>
        <v>161220.97515710705</v>
      </c>
      <c r="J267" s="25">
        <f t="shared" si="29"/>
        <v>796.42603343291557</v>
      </c>
      <c r="K267" s="25">
        <f t="shared" si="32"/>
        <v>161220.97515710705</v>
      </c>
      <c r="M267" s="26" t="e">
        <f t="shared" si="30"/>
        <v>#DIV/0!</v>
      </c>
      <c r="N267" s="1">
        <f t="shared" si="25"/>
        <v>0</v>
      </c>
      <c r="O267" s="44">
        <f t="shared" si="31"/>
        <v>0</v>
      </c>
    </row>
    <row r="268" spans="1:15" x14ac:dyDescent="0.25">
      <c r="A268" s="24">
        <f t="shared" si="26"/>
        <v>46813</v>
      </c>
      <c r="B268" s="62"/>
      <c r="C268" s="62"/>
      <c r="D268" s="62"/>
      <c r="E268" s="61"/>
      <c r="F268" s="61"/>
      <c r="G268" s="46">
        <f t="shared" si="27"/>
        <v>0</v>
      </c>
      <c r="H268" s="22" t="e">
        <f t="shared" si="28"/>
        <v>#DIV/0!</v>
      </c>
      <c r="I268" s="23">
        <f>'1 - Amortisation'!G239</f>
        <v>160418.57592842341</v>
      </c>
      <c r="J268" s="25">
        <f t="shared" si="29"/>
        <v>802.39922868364374</v>
      </c>
      <c r="K268" s="25">
        <f t="shared" si="32"/>
        <v>160418.57592842341</v>
      </c>
      <c r="M268" s="26" t="e">
        <f t="shared" si="30"/>
        <v>#DIV/0!</v>
      </c>
      <c r="N268" s="1">
        <f t="shared" si="25"/>
        <v>0</v>
      </c>
      <c r="O268" s="44">
        <f t="shared" si="31"/>
        <v>0</v>
      </c>
    </row>
    <row r="269" spans="1:15" x14ac:dyDescent="0.25">
      <c r="A269" s="24">
        <f t="shared" si="26"/>
        <v>46844</v>
      </c>
      <c r="B269" s="62"/>
      <c r="C269" s="62"/>
      <c r="D269" s="62"/>
      <c r="E269" s="61"/>
      <c r="F269" s="61"/>
      <c r="G269" s="46">
        <f t="shared" si="27"/>
        <v>0</v>
      </c>
      <c r="H269" s="22" t="e">
        <f t="shared" si="28"/>
        <v>#DIV/0!</v>
      </c>
      <c r="I269" s="23">
        <f>'1 - Amortisation'!G240</f>
        <v>159610.15870552463</v>
      </c>
      <c r="J269" s="25">
        <f t="shared" si="29"/>
        <v>808.41722289877362</v>
      </c>
      <c r="K269" s="25">
        <f t="shared" si="32"/>
        <v>159610.15870552463</v>
      </c>
      <c r="M269" s="26" t="e">
        <f t="shared" si="30"/>
        <v>#DIV/0!</v>
      </c>
      <c r="N269" s="1">
        <f t="shared" si="25"/>
        <v>0</v>
      </c>
      <c r="O269" s="44">
        <f t="shared" si="31"/>
        <v>0</v>
      </c>
    </row>
    <row r="270" spans="1:15" x14ac:dyDescent="0.25">
      <c r="A270" s="24">
        <f t="shared" si="26"/>
        <v>46874</v>
      </c>
      <c r="B270" s="62"/>
      <c r="C270" s="62"/>
      <c r="D270" s="62"/>
      <c r="E270" s="61"/>
      <c r="F270" s="61"/>
      <c r="G270" s="46">
        <f t="shared" si="27"/>
        <v>0</v>
      </c>
      <c r="H270" s="22" t="e">
        <f t="shared" si="28"/>
        <v>#DIV/0!</v>
      </c>
      <c r="I270" s="23">
        <f>'1 - Amortisation'!G241</f>
        <v>158795.6783534541</v>
      </c>
      <c r="J270" s="25">
        <f t="shared" si="29"/>
        <v>814.48035207053181</v>
      </c>
      <c r="K270" s="25">
        <f t="shared" si="32"/>
        <v>158795.6783534541</v>
      </c>
      <c r="M270" s="26" t="e">
        <f t="shared" si="30"/>
        <v>#DIV/0!</v>
      </c>
      <c r="N270" s="1">
        <f t="shared" si="25"/>
        <v>0</v>
      </c>
      <c r="O270" s="44">
        <f t="shared" si="31"/>
        <v>0</v>
      </c>
    </row>
    <row r="271" spans="1:15" x14ac:dyDescent="0.25">
      <c r="A271" s="24">
        <f t="shared" si="26"/>
        <v>46905</v>
      </c>
      <c r="B271" s="62"/>
      <c r="C271" s="62"/>
      <c r="D271" s="62"/>
      <c r="E271" s="61"/>
      <c r="F271" s="61"/>
      <c r="G271" s="46">
        <f t="shared" si="27"/>
        <v>0</v>
      </c>
      <c r="H271" s="22" t="e">
        <f t="shared" si="28"/>
        <v>#DIV/0!</v>
      </c>
      <c r="I271" s="23">
        <f>'1 - Amortisation'!G242</f>
        <v>157975.08939874306</v>
      </c>
      <c r="J271" s="25">
        <f t="shared" si="29"/>
        <v>820.58895471104188</v>
      </c>
      <c r="K271" s="25">
        <f t="shared" si="32"/>
        <v>157975.08939874306</v>
      </c>
      <c r="M271" s="26" t="e">
        <f t="shared" si="30"/>
        <v>#DIV/0!</v>
      </c>
      <c r="N271" s="1">
        <f t="shared" si="25"/>
        <v>0</v>
      </c>
      <c r="O271" s="44">
        <f t="shared" si="31"/>
        <v>0</v>
      </c>
    </row>
    <row r="272" spans="1:15" x14ac:dyDescent="0.25">
      <c r="A272" s="24">
        <f t="shared" si="26"/>
        <v>46935</v>
      </c>
      <c r="B272" s="62"/>
      <c r="C272" s="62"/>
      <c r="D272" s="62"/>
      <c r="E272" s="61"/>
      <c r="F272" s="61"/>
      <c r="G272" s="46">
        <f t="shared" si="27"/>
        <v>0</v>
      </c>
      <c r="H272" s="22" t="e">
        <f t="shared" si="28"/>
        <v>#DIV/0!</v>
      </c>
      <c r="I272" s="23">
        <f>'1 - Amortisation'!G243</f>
        <v>157148.34602687167</v>
      </c>
      <c r="J272" s="25">
        <f t="shared" si="29"/>
        <v>826.74337187138735</v>
      </c>
      <c r="K272" s="25">
        <f t="shared" si="32"/>
        <v>157148.34602687167</v>
      </c>
      <c r="M272" s="26" t="e">
        <f t="shared" si="30"/>
        <v>#DIV/0!</v>
      </c>
      <c r="N272" s="1">
        <f t="shared" si="25"/>
        <v>0</v>
      </c>
      <c r="O272" s="44">
        <f t="shared" si="31"/>
        <v>0</v>
      </c>
    </row>
    <row r="273" spans="1:15" x14ac:dyDescent="0.25">
      <c r="A273" s="24">
        <f t="shared" si="26"/>
        <v>46966</v>
      </c>
      <c r="B273" s="62"/>
      <c r="C273" s="62"/>
      <c r="D273" s="62"/>
      <c r="E273" s="61"/>
      <c r="F273" s="61"/>
      <c r="G273" s="46">
        <f t="shared" si="27"/>
        <v>0</v>
      </c>
      <c r="H273" s="22" t="e">
        <f t="shared" si="28"/>
        <v>#DIV/0!</v>
      </c>
      <c r="I273" s="23">
        <f>'1 - Amortisation'!G244</f>
        <v>156315.40207971126</v>
      </c>
      <c r="J273" s="25">
        <f t="shared" si="29"/>
        <v>832.94394716041279</v>
      </c>
      <c r="K273" s="25">
        <f t="shared" si="32"/>
        <v>156315.40207971126</v>
      </c>
      <c r="M273" s="26" t="e">
        <f t="shared" si="30"/>
        <v>#DIV/0!</v>
      </c>
      <c r="N273" s="1">
        <f t="shared" si="25"/>
        <v>0</v>
      </c>
      <c r="O273" s="44">
        <f t="shared" si="31"/>
        <v>0</v>
      </c>
    </row>
    <row r="274" spans="1:15" x14ac:dyDescent="0.25">
      <c r="A274" s="24">
        <f t="shared" si="26"/>
        <v>46997</v>
      </c>
      <c r="B274" s="62"/>
      <c r="C274" s="62"/>
      <c r="D274" s="62"/>
      <c r="E274" s="61"/>
      <c r="F274" s="61"/>
      <c r="G274" s="46">
        <f t="shared" si="27"/>
        <v>0</v>
      </c>
      <c r="H274" s="22" t="e">
        <f t="shared" si="28"/>
        <v>#DIV/0!</v>
      </c>
      <c r="I274" s="23">
        <f>'1 - Amortisation'!G245</f>
        <v>155476.21105294715</v>
      </c>
      <c r="J274" s="25">
        <f t="shared" si="29"/>
        <v>839.19102676410694</v>
      </c>
      <c r="K274" s="25">
        <f t="shared" si="32"/>
        <v>155476.21105294715</v>
      </c>
      <c r="M274" s="26" t="e">
        <f t="shared" si="30"/>
        <v>#DIV/0!</v>
      </c>
      <c r="N274" s="1">
        <f t="shared" si="25"/>
        <v>0</v>
      </c>
      <c r="O274" s="44">
        <f t="shared" si="31"/>
        <v>0</v>
      </c>
    </row>
    <row r="275" spans="1:15" x14ac:dyDescent="0.25">
      <c r="A275" s="24">
        <f t="shared" si="26"/>
        <v>47027</v>
      </c>
      <c r="B275" s="62"/>
      <c r="C275" s="62"/>
      <c r="D275" s="62"/>
      <c r="E275" s="61"/>
      <c r="F275" s="61"/>
      <c r="G275" s="46">
        <f t="shared" si="27"/>
        <v>0</v>
      </c>
      <c r="H275" s="22" t="e">
        <f t="shared" si="28"/>
        <v>#DIV/0!</v>
      </c>
      <c r="I275" s="23">
        <f>'1 - Amortisation'!G246</f>
        <v>154630.72609348231</v>
      </c>
      <c r="J275" s="25">
        <f t="shared" si="29"/>
        <v>845.48495946484036</v>
      </c>
      <c r="K275" s="25">
        <f t="shared" si="32"/>
        <v>154630.72609348231</v>
      </c>
      <c r="M275" s="26" t="e">
        <f t="shared" si="30"/>
        <v>#DIV/0!</v>
      </c>
      <c r="N275" s="1">
        <f t="shared" si="25"/>
        <v>0</v>
      </c>
      <c r="O275" s="44">
        <f t="shared" si="31"/>
        <v>0</v>
      </c>
    </row>
    <row r="276" spans="1:15" x14ac:dyDescent="0.25">
      <c r="A276" s="24">
        <f t="shared" si="26"/>
        <v>47058</v>
      </c>
      <c r="B276" s="62"/>
      <c r="C276" s="62"/>
      <c r="D276" s="62"/>
      <c r="E276" s="61"/>
      <c r="F276" s="61"/>
      <c r="G276" s="46">
        <f t="shared" si="27"/>
        <v>0</v>
      </c>
      <c r="H276" s="22" t="e">
        <f t="shared" si="28"/>
        <v>#DIV/0!</v>
      </c>
      <c r="I276" s="23">
        <f>'1 - Amortisation'!G247</f>
        <v>153778.89999682148</v>
      </c>
      <c r="J276" s="25">
        <f t="shared" si="29"/>
        <v>851.8260966608359</v>
      </c>
      <c r="K276" s="25">
        <f t="shared" si="32"/>
        <v>153778.89999682148</v>
      </c>
      <c r="M276" s="26" t="e">
        <f t="shared" si="30"/>
        <v>#DIV/0!</v>
      </c>
      <c r="N276" s="1">
        <f t="shared" si="25"/>
        <v>0</v>
      </c>
      <c r="O276" s="44">
        <f t="shared" si="31"/>
        <v>0</v>
      </c>
    </row>
    <row r="277" spans="1:15" x14ac:dyDescent="0.25">
      <c r="A277" s="24">
        <f t="shared" si="26"/>
        <v>47088</v>
      </c>
      <c r="B277" s="62"/>
      <c r="C277" s="62"/>
      <c r="D277" s="62"/>
      <c r="E277" s="61"/>
      <c r="F277" s="61"/>
      <c r="G277" s="46">
        <f t="shared" si="27"/>
        <v>0</v>
      </c>
      <c r="H277" s="22" t="e">
        <f t="shared" si="28"/>
        <v>#DIV/0!</v>
      </c>
      <c r="I277" s="23">
        <f>'1 - Amortisation'!G248</f>
        <v>152920.68520443569</v>
      </c>
      <c r="J277" s="25">
        <f t="shared" si="29"/>
        <v>858.21479238578468</v>
      </c>
      <c r="K277" s="25">
        <f t="shared" si="32"/>
        <v>152920.68520443569</v>
      </c>
      <c r="M277" s="26" t="e">
        <f t="shared" si="30"/>
        <v>#DIV/0!</v>
      </c>
      <c r="N277" s="1">
        <f t="shared" si="25"/>
        <v>0</v>
      </c>
      <c r="O277" s="44">
        <f t="shared" si="31"/>
        <v>0</v>
      </c>
    </row>
    <row r="278" spans="1:15" x14ac:dyDescent="0.25">
      <c r="A278" s="24">
        <f t="shared" si="26"/>
        <v>47119</v>
      </c>
      <c r="B278" s="62"/>
      <c r="C278" s="62"/>
      <c r="D278" s="62"/>
      <c r="E278" s="61"/>
      <c r="F278" s="61"/>
      <c r="G278" s="46">
        <f t="shared" si="27"/>
        <v>0</v>
      </c>
      <c r="H278" s="22" t="e">
        <f t="shared" si="28"/>
        <v>#DIV/0!</v>
      </c>
      <c r="I278" s="23">
        <f>'1 - Amortisation'!G249</f>
        <v>152056.033801107</v>
      </c>
      <c r="J278" s="25">
        <f t="shared" si="29"/>
        <v>864.65140332869487</v>
      </c>
      <c r="K278" s="25">
        <f t="shared" si="32"/>
        <v>152056.033801107</v>
      </c>
      <c r="M278" s="26" t="e">
        <f t="shared" si="30"/>
        <v>#DIV/0!</v>
      </c>
      <c r="N278" s="1">
        <f t="shared" si="25"/>
        <v>0</v>
      </c>
      <c r="O278" s="44">
        <f t="shared" si="31"/>
        <v>0</v>
      </c>
    </row>
    <row r="279" spans="1:15" x14ac:dyDescent="0.25">
      <c r="A279" s="24">
        <f t="shared" si="26"/>
        <v>47150</v>
      </c>
      <c r="B279" s="62"/>
      <c r="C279" s="62"/>
      <c r="D279" s="62"/>
      <c r="E279" s="61"/>
      <c r="F279" s="61"/>
      <c r="G279" s="46">
        <f t="shared" si="27"/>
        <v>0</v>
      </c>
      <c r="H279" s="22" t="e">
        <f t="shared" si="28"/>
        <v>#DIV/0!</v>
      </c>
      <c r="I279" s="23">
        <f>'1 - Amortisation'!G250</f>
        <v>151184.89751225334</v>
      </c>
      <c r="J279" s="25">
        <f t="shared" si="29"/>
        <v>871.13628885365324</v>
      </c>
      <c r="K279" s="25">
        <f t="shared" si="32"/>
        <v>151184.89751225334</v>
      </c>
      <c r="M279" s="26" t="e">
        <f t="shared" si="30"/>
        <v>#DIV/0!</v>
      </c>
      <c r="N279" s="1">
        <f t="shared" si="25"/>
        <v>0</v>
      </c>
      <c r="O279" s="44">
        <f t="shared" si="31"/>
        <v>0</v>
      </c>
    </row>
    <row r="280" spans="1:15" x14ac:dyDescent="0.25">
      <c r="A280" s="24">
        <f t="shared" si="26"/>
        <v>47178</v>
      </c>
      <c r="B280" s="62"/>
      <c r="C280" s="62"/>
      <c r="D280" s="62"/>
      <c r="E280" s="61"/>
      <c r="F280" s="61"/>
      <c r="G280" s="46">
        <f t="shared" si="27"/>
        <v>0</v>
      </c>
      <c r="H280" s="22" t="e">
        <f t="shared" si="28"/>
        <v>#DIV/0!</v>
      </c>
      <c r="I280" s="23">
        <f>'1 - Amortisation'!G251</f>
        <v>150307.22770123329</v>
      </c>
      <c r="J280" s="25">
        <f t="shared" si="29"/>
        <v>877.66981102005229</v>
      </c>
      <c r="K280" s="25">
        <f t="shared" si="32"/>
        <v>150307.22770123329</v>
      </c>
      <c r="M280" s="26" t="e">
        <f t="shared" si="30"/>
        <v>#DIV/0!</v>
      </c>
      <c r="N280" s="1">
        <f t="shared" ref="N280:N343" si="33">IF(F280&gt;0,F279-F280,0)</f>
        <v>0</v>
      </c>
      <c r="O280" s="44">
        <f t="shared" si="31"/>
        <v>0</v>
      </c>
    </row>
    <row r="281" spans="1:15" x14ac:dyDescent="0.25">
      <c r="A281" s="24">
        <f t="shared" si="26"/>
        <v>47209</v>
      </c>
      <c r="B281" s="62"/>
      <c r="C281" s="62"/>
      <c r="D281" s="62"/>
      <c r="E281" s="61"/>
      <c r="F281" s="61"/>
      <c r="G281" s="46">
        <f t="shared" si="27"/>
        <v>0</v>
      </c>
      <c r="H281" s="22" t="e">
        <f t="shared" si="28"/>
        <v>#DIV/0!</v>
      </c>
      <c r="I281" s="23">
        <f>'1 - Amortisation'!G252</f>
        <v>149422.97536663059</v>
      </c>
      <c r="J281" s="25">
        <f t="shared" si="29"/>
        <v>884.25233460270101</v>
      </c>
      <c r="K281" s="25">
        <f t="shared" si="32"/>
        <v>149422.97536663059</v>
      </c>
      <c r="M281" s="26" t="e">
        <f t="shared" si="30"/>
        <v>#DIV/0!</v>
      </c>
      <c r="N281" s="1">
        <f t="shared" si="33"/>
        <v>0</v>
      </c>
      <c r="O281" s="44">
        <f t="shared" si="31"/>
        <v>0</v>
      </c>
    </row>
    <row r="282" spans="1:15" x14ac:dyDescent="0.25">
      <c r="A282" s="24">
        <f t="shared" si="26"/>
        <v>47239</v>
      </c>
      <c r="B282" s="62"/>
      <c r="C282" s="62"/>
      <c r="D282" s="62"/>
      <c r="E282" s="61"/>
      <c r="F282" s="61"/>
      <c r="G282" s="46">
        <f t="shared" si="27"/>
        <v>0</v>
      </c>
      <c r="H282" s="22" t="e">
        <f t="shared" si="28"/>
        <v>#DIV/0!</v>
      </c>
      <c r="I282" s="23">
        <f>'1 - Amortisation'!G253</f>
        <v>148532.09113951836</v>
      </c>
      <c r="J282" s="25">
        <f t="shared" si="29"/>
        <v>890.88422711222665</v>
      </c>
      <c r="K282" s="25">
        <f t="shared" si="32"/>
        <v>148532.09113951836</v>
      </c>
      <c r="M282" s="26" t="e">
        <f t="shared" si="30"/>
        <v>#DIV/0!</v>
      </c>
      <c r="N282" s="1">
        <f t="shared" si="33"/>
        <v>0</v>
      </c>
      <c r="O282" s="44">
        <f t="shared" si="31"/>
        <v>0</v>
      </c>
    </row>
    <row r="283" spans="1:15" x14ac:dyDescent="0.25">
      <c r="A283" s="24">
        <f t="shared" si="26"/>
        <v>47270</v>
      </c>
      <c r="B283" s="62"/>
      <c r="C283" s="62"/>
      <c r="D283" s="62"/>
      <c r="E283" s="61"/>
      <c r="F283" s="61"/>
      <c r="G283" s="46">
        <f t="shared" si="27"/>
        <v>0</v>
      </c>
      <c r="H283" s="22" t="e">
        <f t="shared" si="28"/>
        <v>#DIV/0!</v>
      </c>
      <c r="I283" s="23">
        <f>'1 - Amortisation'!G254</f>
        <v>147634.5252807028</v>
      </c>
      <c r="J283" s="25">
        <f t="shared" si="29"/>
        <v>897.56585881556384</v>
      </c>
      <c r="K283" s="25">
        <f t="shared" si="32"/>
        <v>147634.5252807028</v>
      </c>
      <c r="M283" s="26" t="e">
        <f t="shared" si="30"/>
        <v>#DIV/0!</v>
      </c>
      <c r="N283" s="1">
        <f t="shared" si="33"/>
        <v>0</v>
      </c>
      <c r="O283" s="44">
        <f t="shared" si="31"/>
        <v>0</v>
      </c>
    </row>
    <row r="284" spans="1:15" x14ac:dyDescent="0.25">
      <c r="A284" s="24">
        <f t="shared" si="26"/>
        <v>47300</v>
      </c>
      <c r="B284" s="62"/>
      <c r="C284" s="62"/>
      <c r="D284" s="62"/>
      <c r="E284" s="61"/>
      <c r="F284" s="61"/>
      <c r="G284" s="46">
        <f t="shared" si="27"/>
        <v>0</v>
      </c>
      <c r="H284" s="22" t="e">
        <f t="shared" si="28"/>
        <v>#DIV/0!</v>
      </c>
      <c r="I284" s="23">
        <f>'1 - Amortisation'!G255</f>
        <v>146730.22767794612</v>
      </c>
      <c r="J284" s="25">
        <f t="shared" si="29"/>
        <v>904.2976027566765</v>
      </c>
      <c r="K284" s="25">
        <f t="shared" si="32"/>
        <v>146730.22767794612</v>
      </c>
      <c r="M284" s="26" t="e">
        <f t="shared" si="30"/>
        <v>#DIV/0!</v>
      </c>
      <c r="N284" s="1">
        <f t="shared" si="33"/>
        <v>0</v>
      </c>
      <c r="O284" s="44">
        <f t="shared" si="31"/>
        <v>0</v>
      </c>
    </row>
    <row r="285" spans="1:15" x14ac:dyDescent="0.25">
      <c r="A285" s="24">
        <f t="shared" si="26"/>
        <v>47331</v>
      </c>
      <c r="B285" s="62"/>
      <c r="C285" s="62"/>
      <c r="D285" s="62"/>
      <c r="E285" s="61"/>
      <c r="F285" s="61"/>
      <c r="G285" s="46">
        <f t="shared" si="27"/>
        <v>0</v>
      </c>
      <c r="H285" s="22" t="e">
        <f t="shared" si="28"/>
        <v>#DIV/0!</v>
      </c>
      <c r="I285" s="23">
        <f>'1 - Amortisation'!G256</f>
        <v>145819.14784316876</v>
      </c>
      <c r="J285" s="25">
        <f t="shared" si="29"/>
        <v>911.07983477736707</v>
      </c>
      <c r="K285" s="25">
        <f t="shared" si="32"/>
        <v>145819.14784316876</v>
      </c>
      <c r="M285" s="26" t="e">
        <f t="shared" si="30"/>
        <v>#DIV/0!</v>
      </c>
      <c r="N285" s="1">
        <f t="shared" si="33"/>
        <v>0</v>
      </c>
      <c r="O285" s="44">
        <f t="shared" si="31"/>
        <v>0</v>
      </c>
    </row>
    <row r="286" spans="1:15" x14ac:dyDescent="0.25">
      <c r="A286" s="24">
        <f t="shared" si="26"/>
        <v>47362</v>
      </c>
      <c r="B286" s="62"/>
      <c r="C286" s="62"/>
      <c r="D286" s="62"/>
      <c r="E286" s="61"/>
      <c r="F286" s="61"/>
      <c r="G286" s="46">
        <f t="shared" si="27"/>
        <v>0</v>
      </c>
      <c r="H286" s="22" t="e">
        <f t="shared" si="28"/>
        <v>#DIV/0!</v>
      </c>
      <c r="I286" s="23">
        <f>'1 - Amortisation'!G257</f>
        <v>144901.23490963056</v>
      </c>
      <c r="J286" s="25">
        <f t="shared" si="29"/>
        <v>917.9129335382022</v>
      </c>
      <c r="K286" s="25">
        <f t="shared" si="32"/>
        <v>144901.23490963056</v>
      </c>
      <c r="M286" s="26" t="e">
        <f t="shared" si="30"/>
        <v>#DIV/0!</v>
      </c>
      <c r="N286" s="1">
        <f t="shared" si="33"/>
        <v>0</v>
      </c>
      <c r="O286" s="44">
        <f t="shared" si="31"/>
        <v>0</v>
      </c>
    </row>
    <row r="287" spans="1:15" x14ac:dyDescent="0.25">
      <c r="A287" s="24">
        <f t="shared" si="26"/>
        <v>47392</v>
      </c>
      <c r="B287" s="62"/>
      <c r="C287" s="62"/>
      <c r="D287" s="62"/>
      <c r="E287" s="61"/>
      <c r="F287" s="61"/>
      <c r="G287" s="46">
        <f t="shared" si="27"/>
        <v>0</v>
      </c>
      <c r="H287" s="22" t="e">
        <f t="shared" si="28"/>
        <v>#DIV/0!</v>
      </c>
      <c r="I287" s="23">
        <f>'1 - Amortisation'!G258</f>
        <v>143976.43762909083</v>
      </c>
      <c r="J287" s="25">
        <f t="shared" si="29"/>
        <v>924.7972805397294</v>
      </c>
      <c r="K287" s="25">
        <f t="shared" si="32"/>
        <v>143976.43762909083</v>
      </c>
      <c r="M287" s="26" t="e">
        <f t="shared" si="30"/>
        <v>#DIV/0!</v>
      </c>
      <c r="N287" s="1">
        <f t="shared" si="33"/>
        <v>0</v>
      </c>
      <c r="O287" s="44">
        <f t="shared" si="31"/>
        <v>0</v>
      </c>
    </row>
    <row r="288" spans="1:15" x14ac:dyDescent="0.25">
      <c r="A288" s="24">
        <f t="shared" si="26"/>
        <v>47423</v>
      </c>
      <c r="B288" s="62"/>
      <c r="C288" s="62"/>
      <c r="D288" s="62"/>
      <c r="E288" s="61"/>
      <c r="F288" s="61"/>
      <c r="G288" s="46">
        <f t="shared" si="27"/>
        <v>0</v>
      </c>
      <c r="H288" s="22" t="e">
        <f t="shared" si="28"/>
        <v>#DIV/0!</v>
      </c>
      <c r="I288" s="23">
        <f>'1 - Amortisation'!G259</f>
        <v>143044.70436894704</v>
      </c>
      <c r="J288" s="25">
        <f t="shared" si="29"/>
        <v>931.73326014378108</v>
      </c>
      <c r="K288" s="25">
        <f t="shared" si="32"/>
        <v>143044.70436894704</v>
      </c>
      <c r="M288" s="26" t="e">
        <f t="shared" si="30"/>
        <v>#DIV/0!</v>
      </c>
      <c r="N288" s="1">
        <f t="shared" si="33"/>
        <v>0</v>
      </c>
      <c r="O288" s="44">
        <f t="shared" si="31"/>
        <v>0</v>
      </c>
    </row>
    <row r="289" spans="1:15" x14ac:dyDescent="0.25">
      <c r="A289" s="24">
        <f t="shared" ref="A289:A352" si="34">EDATE(A288,1)</f>
        <v>47453</v>
      </c>
      <c r="B289" s="62"/>
      <c r="C289" s="62"/>
      <c r="D289" s="62"/>
      <c r="E289" s="61"/>
      <c r="F289" s="61"/>
      <c r="G289" s="46">
        <f t="shared" ref="G289:G352" si="35">G288+C289</f>
        <v>0</v>
      </c>
      <c r="H289" s="22" t="e">
        <f t="shared" ref="H289:H352" si="36">F289/$F$31</f>
        <v>#DIV/0!</v>
      </c>
      <c r="I289" s="23">
        <f>'1 - Amortisation'!G260</f>
        <v>142105.98310935218</v>
      </c>
      <c r="J289" s="25">
        <f t="shared" ref="J289:J348" si="37">I288-I289</f>
        <v>938.72125959486584</v>
      </c>
      <c r="K289" s="25">
        <f t="shared" si="32"/>
        <v>142105.98310935218</v>
      </c>
      <c r="M289" s="26" t="e">
        <f t="shared" ref="M289:M352" si="38">B289/D289</f>
        <v>#DIV/0!</v>
      </c>
      <c r="N289" s="1">
        <f t="shared" si="33"/>
        <v>0</v>
      </c>
      <c r="O289" s="44">
        <f t="shared" si="31"/>
        <v>0</v>
      </c>
    </row>
    <row r="290" spans="1:15" x14ac:dyDescent="0.25">
      <c r="A290" s="24">
        <f t="shared" si="34"/>
        <v>47484</v>
      </c>
      <c r="B290" s="62"/>
      <c r="C290" s="62"/>
      <c r="D290" s="62"/>
      <c r="E290" s="61"/>
      <c r="F290" s="61"/>
      <c r="G290" s="46">
        <f t="shared" si="35"/>
        <v>0</v>
      </c>
      <c r="H290" s="22" t="e">
        <f t="shared" si="36"/>
        <v>#DIV/0!</v>
      </c>
      <c r="I290" s="23">
        <f>'1 - Amortisation'!G261</f>
        <v>141160.22144031036</v>
      </c>
      <c r="J290" s="25">
        <f t="shared" si="37"/>
        <v>945.76166904182173</v>
      </c>
      <c r="K290" s="25">
        <f t="shared" si="32"/>
        <v>141160.22144031036</v>
      </c>
      <c r="M290" s="26" t="e">
        <f t="shared" si="38"/>
        <v>#DIV/0!</v>
      </c>
      <c r="N290" s="1">
        <f t="shared" si="33"/>
        <v>0</v>
      </c>
      <c r="O290" s="44">
        <f t="shared" si="31"/>
        <v>0</v>
      </c>
    </row>
    <row r="291" spans="1:15" x14ac:dyDescent="0.25">
      <c r="A291" s="24">
        <f t="shared" si="34"/>
        <v>47515</v>
      </c>
      <c r="B291" s="62"/>
      <c r="C291" s="62"/>
      <c r="D291" s="62"/>
      <c r="E291" s="61"/>
      <c r="F291" s="61"/>
      <c r="G291" s="46">
        <f t="shared" si="35"/>
        <v>0</v>
      </c>
      <c r="H291" s="22" t="e">
        <f t="shared" si="36"/>
        <v>#DIV/0!</v>
      </c>
      <c r="I291" s="23">
        <f>'1 - Amortisation'!G262</f>
        <v>140207.36655875074</v>
      </c>
      <c r="J291" s="25">
        <f t="shared" si="37"/>
        <v>952.85488155961502</v>
      </c>
      <c r="K291" s="25">
        <f t="shared" si="32"/>
        <v>140207.36655875074</v>
      </c>
      <c r="M291" s="26" t="e">
        <f t="shared" si="38"/>
        <v>#DIV/0!</v>
      </c>
      <c r="N291" s="1">
        <f t="shared" si="33"/>
        <v>0</v>
      </c>
      <c r="O291" s="44">
        <f t="shared" ref="O291:O354" si="39">F291+G291</f>
        <v>0</v>
      </c>
    </row>
    <row r="292" spans="1:15" x14ac:dyDescent="0.25">
      <c r="A292" s="24">
        <f t="shared" si="34"/>
        <v>47543</v>
      </c>
      <c r="B292" s="62"/>
      <c r="C292" s="62"/>
      <c r="D292" s="62"/>
      <c r="E292" s="61"/>
      <c r="F292" s="61"/>
      <c r="G292" s="46">
        <f t="shared" si="35"/>
        <v>0</v>
      </c>
      <c r="H292" s="22" t="e">
        <f t="shared" si="36"/>
        <v>#DIV/0!</v>
      </c>
      <c r="I292" s="23">
        <f>'1 - Amortisation'!G263</f>
        <v>139247.36526557943</v>
      </c>
      <c r="J292" s="25">
        <f t="shared" si="37"/>
        <v>960.00129317131359</v>
      </c>
      <c r="K292" s="25">
        <f t="shared" si="32"/>
        <v>139247.36526557943</v>
      </c>
      <c r="M292" s="26" t="e">
        <f t="shared" si="38"/>
        <v>#DIV/0!</v>
      </c>
      <c r="N292" s="1">
        <f t="shared" si="33"/>
        <v>0</v>
      </c>
      <c r="O292" s="44">
        <f t="shared" si="39"/>
        <v>0</v>
      </c>
    </row>
    <row r="293" spans="1:15" x14ac:dyDescent="0.25">
      <c r="A293" s="24">
        <f t="shared" si="34"/>
        <v>47574</v>
      </c>
      <c r="B293" s="62"/>
      <c r="C293" s="62"/>
      <c r="D293" s="62"/>
      <c r="E293" s="61"/>
      <c r="F293" s="61"/>
      <c r="G293" s="46">
        <f t="shared" si="35"/>
        <v>0</v>
      </c>
      <c r="H293" s="22" t="e">
        <f t="shared" si="36"/>
        <v>#DIV/0!</v>
      </c>
      <c r="I293" s="23">
        <f>'1 - Amortisation'!G264</f>
        <v>138280.16396270931</v>
      </c>
      <c r="J293" s="25">
        <f t="shared" si="37"/>
        <v>967.20130287011852</v>
      </c>
      <c r="K293" s="25">
        <f t="shared" si="32"/>
        <v>138280.16396270931</v>
      </c>
      <c r="M293" s="26" t="e">
        <f t="shared" si="38"/>
        <v>#DIV/0!</v>
      </c>
      <c r="N293" s="1">
        <f t="shared" si="33"/>
        <v>0</v>
      </c>
      <c r="O293" s="44">
        <f t="shared" si="39"/>
        <v>0</v>
      </c>
    </row>
    <row r="294" spans="1:15" x14ac:dyDescent="0.25">
      <c r="A294" s="24">
        <f t="shared" si="34"/>
        <v>47604</v>
      </c>
      <c r="B294" s="62"/>
      <c r="C294" s="62"/>
      <c r="D294" s="62"/>
      <c r="E294" s="61"/>
      <c r="F294" s="61"/>
      <c r="G294" s="46">
        <f t="shared" si="35"/>
        <v>0</v>
      </c>
      <c r="H294" s="22" t="e">
        <f t="shared" si="36"/>
        <v>#DIV/0!</v>
      </c>
      <c r="I294" s="23">
        <f>'1 - Amortisation'!G265</f>
        <v>137305.70865006768</v>
      </c>
      <c r="J294" s="25">
        <f t="shared" si="37"/>
        <v>974.45531264162855</v>
      </c>
      <c r="K294" s="25">
        <f t="shared" si="32"/>
        <v>137305.70865006768</v>
      </c>
      <c r="M294" s="26" t="e">
        <f t="shared" si="38"/>
        <v>#DIV/0!</v>
      </c>
      <c r="N294" s="1">
        <f t="shared" si="33"/>
        <v>0</v>
      </c>
      <c r="O294" s="44">
        <f t="shared" si="39"/>
        <v>0</v>
      </c>
    </row>
    <row r="295" spans="1:15" x14ac:dyDescent="0.25">
      <c r="A295" s="24">
        <f t="shared" si="34"/>
        <v>47635</v>
      </c>
      <c r="B295" s="62"/>
      <c r="C295" s="62"/>
      <c r="D295" s="62"/>
      <c r="E295" s="61"/>
      <c r="F295" s="61"/>
      <c r="G295" s="46">
        <f t="shared" si="35"/>
        <v>0</v>
      </c>
      <c r="H295" s="22" t="e">
        <f t="shared" si="36"/>
        <v>#DIV/0!</v>
      </c>
      <c r="I295" s="23">
        <f>'1 - Amortisation'!G266</f>
        <v>136323.94492258123</v>
      </c>
      <c r="J295" s="25">
        <f t="shared" si="37"/>
        <v>981.76372748645372</v>
      </c>
      <c r="K295" s="25">
        <f t="shared" si="32"/>
        <v>136323.94492258123</v>
      </c>
      <c r="M295" s="26" t="e">
        <f t="shared" si="38"/>
        <v>#DIV/0!</v>
      </c>
      <c r="N295" s="1">
        <f t="shared" si="33"/>
        <v>0</v>
      </c>
      <c r="O295" s="44">
        <f t="shared" si="39"/>
        <v>0</v>
      </c>
    </row>
    <row r="296" spans="1:15" x14ac:dyDescent="0.25">
      <c r="A296" s="24">
        <f t="shared" si="34"/>
        <v>47665</v>
      </c>
      <c r="B296" s="62"/>
      <c r="C296" s="62"/>
      <c r="D296" s="62"/>
      <c r="E296" s="61"/>
      <c r="F296" s="61"/>
      <c r="G296" s="46">
        <f t="shared" si="35"/>
        <v>0</v>
      </c>
      <c r="H296" s="22" t="e">
        <f t="shared" si="36"/>
        <v>#DIV/0!</v>
      </c>
      <c r="I296" s="23">
        <f>'1 - Amortisation'!G267</f>
        <v>135334.81796713863</v>
      </c>
      <c r="J296" s="25">
        <f t="shared" si="37"/>
        <v>989.12695544259623</v>
      </c>
      <c r="K296" s="25">
        <f t="shared" si="32"/>
        <v>135334.81796713863</v>
      </c>
      <c r="M296" s="26" t="e">
        <f t="shared" si="38"/>
        <v>#DIV/0!</v>
      </c>
      <c r="N296" s="1">
        <f t="shared" si="33"/>
        <v>0</v>
      </c>
      <c r="O296" s="44">
        <f t="shared" si="39"/>
        <v>0</v>
      </c>
    </row>
    <row r="297" spans="1:15" x14ac:dyDescent="0.25">
      <c r="A297" s="24">
        <f t="shared" si="34"/>
        <v>47696</v>
      </c>
      <c r="B297" s="62"/>
      <c r="C297" s="62"/>
      <c r="D297" s="62"/>
      <c r="E297" s="61"/>
      <c r="F297" s="61"/>
      <c r="G297" s="46">
        <f t="shared" si="35"/>
        <v>0</v>
      </c>
      <c r="H297" s="22" t="e">
        <f t="shared" si="36"/>
        <v>#DIV/0!</v>
      </c>
      <c r="I297" s="23">
        <f>'1 - Amortisation'!G268</f>
        <v>134338.27255953022</v>
      </c>
      <c r="J297" s="25">
        <f t="shared" si="37"/>
        <v>996.54540760841337</v>
      </c>
      <c r="K297" s="25">
        <f t="shared" si="32"/>
        <v>134338.27255953022</v>
      </c>
      <c r="M297" s="26" t="e">
        <f t="shared" si="38"/>
        <v>#DIV/0!</v>
      </c>
      <c r="N297" s="1">
        <f t="shared" si="33"/>
        <v>0</v>
      </c>
      <c r="O297" s="44">
        <f t="shared" si="39"/>
        <v>0</v>
      </c>
    </row>
    <row r="298" spans="1:15" x14ac:dyDescent="0.25">
      <c r="A298" s="24">
        <f t="shared" si="34"/>
        <v>47727</v>
      </c>
      <c r="B298" s="62"/>
      <c r="C298" s="62"/>
      <c r="D298" s="62"/>
      <c r="E298" s="61"/>
      <c r="F298" s="61"/>
      <c r="G298" s="46">
        <f t="shared" si="35"/>
        <v>0</v>
      </c>
      <c r="H298" s="22" t="e">
        <f t="shared" si="36"/>
        <v>#DIV/0!</v>
      </c>
      <c r="I298" s="23">
        <f>'1 - Amortisation'!G269</f>
        <v>133334.25306136472</v>
      </c>
      <c r="J298" s="25">
        <f t="shared" si="37"/>
        <v>1004.0194981654931</v>
      </c>
      <c r="K298" s="25">
        <f t="shared" si="32"/>
        <v>133334.25306136472</v>
      </c>
      <c r="M298" s="26" t="e">
        <f t="shared" si="38"/>
        <v>#DIV/0!</v>
      </c>
      <c r="N298" s="1">
        <f t="shared" si="33"/>
        <v>0</v>
      </c>
      <c r="O298" s="44">
        <f t="shared" si="39"/>
        <v>0</v>
      </c>
    </row>
    <row r="299" spans="1:15" x14ac:dyDescent="0.25">
      <c r="A299" s="24">
        <f t="shared" si="34"/>
        <v>47757</v>
      </c>
      <c r="B299" s="62"/>
      <c r="C299" s="62"/>
      <c r="D299" s="62"/>
      <c r="E299" s="61"/>
      <c r="F299" s="61"/>
      <c r="G299" s="46">
        <f t="shared" si="35"/>
        <v>0</v>
      </c>
      <c r="H299" s="22" t="e">
        <f t="shared" si="36"/>
        <v>#DIV/0!</v>
      </c>
      <c r="I299" s="23">
        <f>'1 - Amortisation'!G270</f>
        <v>132322.70341696299</v>
      </c>
      <c r="J299" s="25">
        <f t="shared" si="37"/>
        <v>1011.5496444017335</v>
      </c>
      <c r="K299" s="25">
        <f t="shared" si="32"/>
        <v>132322.70341696299</v>
      </c>
      <c r="M299" s="26" t="e">
        <f t="shared" si="38"/>
        <v>#DIV/0!</v>
      </c>
      <c r="N299" s="1">
        <f t="shared" si="33"/>
        <v>0</v>
      </c>
      <c r="O299" s="44">
        <f t="shared" si="39"/>
        <v>0</v>
      </c>
    </row>
    <row r="300" spans="1:15" x14ac:dyDescent="0.25">
      <c r="A300" s="24">
        <f t="shared" si="34"/>
        <v>47788</v>
      </c>
      <c r="B300" s="62"/>
      <c r="C300" s="62"/>
      <c r="D300" s="62"/>
      <c r="E300" s="61"/>
      <c r="F300" s="61"/>
      <c r="G300" s="46">
        <f t="shared" si="35"/>
        <v>0</v>
      </c>
      <c r="H300" s="22" t="e">
        <f t="shared" si="36"/>
        <v>#DIV/0!</v>
      </c>
      <c r="I300" s="23">
        <f>'1 - Amortisation'!G271</f>
        <v>131303.56715022825</v>
      </c>
      <c r="J300" s="25">
        <f t="shared" si="37"/>
        <v>1019.1362667347421</v>
      </c>
      <c r="K300" s="25">
        <f t="shared" si="32"/>
        <v>131303.56715022825</v>
      </c>
      <c r="M300" s="26" t="e">
        <f t="shared" si="38"/>
        <v>#DIV/0!</v>
      </c>
      <c r="N300" s="1">
        <f t="shared" si="33"/>
        <v>0</v>
      </c>
      <c r="O300" s="44">
        <f t="shared" si="39"/>
        <v>0</v>
      </c>
    </row>
    <row r="301" spans="1:15" x14ac:dyDescent="0.25">
      <c r="A301" s="24">
        <f t="shared" si="34"/>
        <v>47818</v>
      </c>
      <c r="B301" s="62"/>
      <c r="C301" s="62"/>
      <c r="D301" s="62"/>
      <c r="E301" s="61"/>
      <c r="F301" s="61"/>
      <c r="G301" s="46">
        <f t="shared" si="35"/>
        <v>0</v>
      </c>
      <c r="H301" s="22" t="e">
        <f t="shared" si="36"/>
        <v>#DIV/0!</v>
      </c>
      <c r="I301" s="23">
        <f>'1 - Amortisation'!G272</f>
        <v>130276.787361493</v>
      </c>
      <c r="J301" s="25">
        <f t="shared" si="37"/>
        <v>1026.7797887352499</v>
      </c>
      <c r="K301" s="25">
        <f t="shared" si="32"/>
        <v>130276.787361493</v>
      </c>
      <c r="M301" s="26" t="e">
        <f t="shared" si="38"/>
        <v>#DIV/0!</v>
      </c>
      <c r="N301" s="1">
        <f t="shared" si="33"/>
        <v>0</v>
      </c>
      <c r="O301" s="44">
        <f t="shared" si="39"/>
        <v>0</v>
      </c>
    </row>
    <row r="302" spans="1:15" x14ac:dyDescent="0.25">
      <c r="A302" s="24">
        <f t="shared" si="34"/>
        <v>47849</v>
      </c>
      <c r="B302" s="62"/>
      <c r="C302" s="62"/>
      <c r="D302" s="62"/>
      <c r="E302" s="61"/>
      <c r="F302" s="61"/>
      <c r="G302" s="46">
        <f t="shared" si="35"/>
        <v>0</v>
      </c>
      <c r="H302" s="22" t="e">
        <f t="shared" si="36"/>
        <v>#DIV/0!</v>
      </c>
      <c r="I302" s="23">
        <f>'1 - Amortisation'!G273</f>
        <v>129242.30672434224</v>
      </c>
      <c r="J302" s="25">
        <f t="shared" si="37"/>
        <v>1034.4806371507584</v>
      </c>
      <c r="K302" s="25">
        <f t="shared" si="32"/>
        <v>129242.30672434224</v>
      </c>
      <c r="M302" s="26" t="e">
        <f t="shared" si="38"/>
        <v>#DIV/0!</v>
      </c>
      <c r="N302" s="1">
        <f t="shared" si="33"/>
        <v>0</v>
      </c>
      <c r="O302" s="44">
        <f t="shared" si="39"/>
        <v>0</v>
      </c>
    </row>
    <row r="303" spans="1:15" x14ac:dyDescent="0.25">
      <c r="A303" s="24">
        <f t="shared" si="34"/>
        <v>47880</v>
      </c>
      <c r="B303" s="62"/>
      <c r="C303" s="62"/>
      <c r="D303" s="62"/>
      <c r="E303" s="61"/>
      <c r="F303" s="61"/>
      <c r="G303" s="46">
        <f t="shared" si="35"/>
        <v>0</v>
      </c>
      <c r="H303" s="22" t="e">
        <f t="shared" si="36"/>
        <v>#DIV/0!</v>
      </c>
      <c r="I303" s="23">
        <f>'1 - Amortisation'!G274</f>
        <v>128200.06748241285</v>
      </c>
      <c r="J303" s="25">
        <f t="shared" si="37"/>
        <v>1042.2392419293901</v>
      </c>
      <c r="K303" s="25">
        <f t="shared" si="32"/>
        <v>128200.06748241285</v>
      </c>
      <c r="M303" s="26" t="e">
        <f t="shared" si="38"/>
        <v>#DIV/0!</v>
      </c>
      <c r="N303" s="1">
        <f t="shared" si="33"/>
        <v>0</v>
      </c>
      <c r="O303" s="44">
        <f t="shared" si="39"/>
        <v>0</v>
      </c>
    </row>
    <row r="304" spans="1:15" x14ac:dyDescent="0.25">
      <c r="A304" s="24">
        <f t="shared" si="34"/>
        <v>47908</v>
      </c>
      <c r="B304" s="62"/>
      <c r="C304" s="62"/>
      <c r="D304" s="62"/>
      <c r="E304" s="61"/>
      <c r="F304" s="61"/>
      <c r="G304" s="46">
        <f t="shared" si="35"/>
        <v>0</v>
      </c>
      <c r="H304" s="22" t="e">
        <f t="shared" si="36"/>
        <v>#DIV/0!</v>
      </c>
      <c r="I304" s="23">
        <f>'1 - Amortisation'!G275</f>
        <v>127150.011446169</v>
      </c>
      <c r="J304" s="25">
        <f t="shared" si="37"/>
        <v>1050.0560362438555</v>
      </c>
      <c r="K304" s="25">
        <f t="shared" si="32"/>
        <v>127150.011446169</v>
      </c>
      <c r="M304" s="26" t="e">
        <f t="shared" si="38"/>
        <v>#DIV/0!</v>
      </c>
      <c r="N304" s="1">
        <f t="shared" si="33"/>
        <v>0</v>
      </c>
      <c r="O304" s="44">
        <f t="shared" si="39"/>
        <v>0</v>
      </c>
    </row>
    <row r="305" spans="1:15" x14ac:dyDescent="0.25">
      <c r="A305" s="24">
        <f t="shared" si="34"/>
        <v>47939</v>
      </c>
      <c r="B305" s="62"/>
      <c r="C305" s="62"/>
      <c r="D305" s="62"/>
      <c r="E305" s="61"/>
      <c r="F305" s="61"/>
      <c r="G305" s="46">
        <f t="shared" si="35"/>
        <v>0</v>
      </c>
      <c r="H305" s="22" t="e">
        <f t="shared" si="36"/>
        <v>#DIV/0!</v>
      </c>
      <c r="I305" s="23">
        <f>'1 - Amortisation'!G276</f>
        <v>126092.07998965331</v>
      </c>
      <c r="J305" s="25">
        <f t="shared" si="37"/>
        <v>1057.9314565156819</v>
      </c>
      <c r="K305" s="25">
        <f t="shared" si="32"/>
        <v>126092.07998965331</v>
      </c>
      <c r="M305" s="26" t="e">
        <f t="shared" si="38"/>
        <v>#DIV/0!</v>
      </c>
      <c r="N305" s="1">
        <f t="shared" si="33"/>
        <v>0</v>
      </c>
      <c r="O305" s="44">
        <f t="shared" si="39"/>
        <v>0</v>
      </c>
    </row>
    <row r="306" spans="1:15" x14ac:dyDescent="0.25">
      <c r="A306" s="24">
        <f t="shared" si="34"/>
        <v>47969</v>
      </c>
      <c r="B306" s="62"/>
      <c r="C306" s="62"/>
      <c r="D306" s="62"/>
      <c r="E306" s="61"/>
      <c r="F306" s="61"/>
      <c r="G306" s="46">
        <f t="shared" si="35"/>
        <v>0</v>
      </c>
      <c r="H306" s="22" t="e">
        <f t="shared" si="36"/>
        <v>#DIV/0!</v>
      </c>
      <c r="I306" s="23">
        <f>'1 - Amortisation'!G277</f>
        <v>125026.21404721375</v>
      </c>
      <c r="J306" s="25">
        <f t="shared" si="37"/>
        <v>1065.8659424395591</v>
      </c>
      <c r="K306" s="25">
        <f t="shared" si="32"/>
        <v>125026.21404721375</v>
      </c>
      <c r="M306" s="26" t="e">
        <f t="shared" si="38"/>
        <v>#DIV/0!</v>
      </c>
      <c r="N306" s="1">
        <f t="shared" si="33"/>
        <v>0</v>
      </c>
      <c r="O306" s="44">
        <f t="shared" si="39"/>
        <v>0</v>
      </c>
    </row>
    <row r="307" spans="1:15" x14ac:dyDescent="0.25">
      <c r="A307" s="24">
        <f t="shared" si="34"/>
        <v>48000</v>
      </c>
      <c r="B307" s="62"/>
      <c r="C307" s="62"/>
      <c r="D307" s="62"/>
      <c r="E307" s="61"/>
      <c r="F307" s="61"/>
      <c r="G307" s="46">
        <f t="shared" si="35"/>
        <v>0</v>
      </c>
      <c r="H307" s="22" t="e">
        <f t="shared" si="36"/>
        <v>#DIV/0!</v>
      </c>
      <c r="I307" s="23">
        <f>'1 - Amortisation'!G278</f>
        <v>123952.3541102059</v>
      </c>
      <c r="J307" s="25">
        <f t="shared" si="37"/>
        <v>1073.8599370078591</v>
      </c>
      <c r="K307" s="25">
        <f t="shared" si="32"/>
        <v>123952.3541102059</v>
      </c>
      <c r="M307" s="26" t="e">
        <f t="shared" si="38"/>
        <v>#DIV/0!</v>
      </c>
      <c r="N307" s="1">
        <f t="shared" si="33"/>
        <v>0</v>
      </c>
      <c r="O307" s="44">
        <f t="shared" si="39"/>
        <v>0</v>
      </c>
    </row>
    <row r="308" spans="1:15" x14ac:dyDescent="0.25">
      <c r="A308" s="24">
        <f t="shared" si="34"/>
        <v>48030</v>
      </c>
      <c r="B308" s="62"/>
      <c r="C308" s="62"/>
      <c r="D308" s="62"/>
      <c r="E308" s="61"/>
      <c r="F308" s="61"/>
      <c r="G308" s="46">
        <f t="shared" si="35"/>
        <v>0</v>
      </c>
      <c r="H308" s="22" t="e">
        <f t="shared" si="36"/>
        <v>#DIV/0!</v>
      </c>
      <c r="I308" s="23">
        <f>'1 - Amortisation'!G279</f>
        <v>122870.44022367048</v>
      </c>
      <c r="J308" s="25">
        <f t="shared" si="37"/>
        <v>1081.913886535418</v>
      </c>
      <c r="K308" s="25">
        <f t="shared" si="32"/>
        <v>122870.44022367048</v>
      </c>
      <c r="M308" s="26" t="e">
        <f t="shared" si="38"/>
        <v>#DIV/0!</v>
      </c>
      <c r="N308" s="1">
        <f t="shared" si="33"/>
        <v>0</v>
      </c>
      <c r="O308" s="44">
        <f t="shared" si="39"/>
        <v>0</v>
      </c>
    </row>
    <row r="309" spans="1:15" x14ac:dyDescent="0.25">
      <c r="A309" s="24">
        <f t="shared" si="34"/>
        <v>48061</v>
      </c>
      <c r="B309" s="62"/>
      <c r="C309" s="62"/>
      <c r="D309" s="62"/>
      <c r="E309" s="61"/>
      <c r="F309" s="61"/>
      <c r="G309" s="46">
        <f t="shared" si="35"/>
        <v>0</v>
      </c>
      <c r="H309" s="22" t="e">
        <f t="shared" si="36"/>
        <v>#DIV/0!</v>
      </c>
      <c r="I309" s="23">
        <f>'1 - Amortisation'!G280</f>
        <v>121780.41198298606</v>
      </c>
      <c r="J309" s="25">
        <f t="shared" si="37"/>
        <v>1090.0282406844199</v>
      </c>
      <c r="K309" s="25">
        <f t="shared" ref="K309:K372" si="40">I309-F309</f>
        <v>121780.41198298606</v>
      </c>
      <c r="M309" s="26" t="e">
        <f t="shared" si="38"/>
        <v>#DIV/0!</v>
      </c>
      <c r="N309" s="1">
        <f t="shared" si="33"/>
        <v>0</v>
      </c>
      <c r="O309" s="44">
        <f t="shared" si="39"/>
        <v>0</v>
      </c>
    </row>
    <row r="310" spans="1:15" x14ac:dyDescent="0.25">
      <c r="A310" s="24">
        <f t="shared" si="34"/>
        <v>48092</v>
      </c>
      <c r="B310" s="62"/>
      <c r="C310" s="62"/>
      <c r="D310" s="62"/>
      <c r="E310" s="61"/>
      <c r="F310" s="61"/>
      <c r="G310" s="46">
        <f t="shared" si="35"/>
        <v>0</v>
      </c>
      <c r="H310" s="22" t="e">
        <f t="shared" si="36"/>
        <v>#DIV/0!</v>
      </c>
      <c r="I310" s="23">
        <f>'1 - Amortisation'!G281</f>
        <v>120682.2085304965</v>
      </c>
      <c r="J310" s="25">
        <f t="shared" si="37"/>
        <v>1098.2034524895571</v>
      </c>
      <c r="K310" s="25">
        <f t="shared" si="40"/>
        <v>120682.2085304965</v>
      </c>
      <c r="M310" s="26" t="e">
        <f t="shared" si="38"/>
        <v>#DIV/0!</v>
      </c>
      <c r="N310" s="1">
        <f t="shared" si="33"/>
        <v>0</v>
      </c>
      <c r="O310" s="44">
        <f t="shared" si="39"/>
        <v>0</v>
      </c>
    </row>
    <row r="311" spans="1:15" x14ac:dyDescent="0.25">
      <c r="A311" s="24">
        <f t="shared" si="34"/>
        <v>48122</v>
      </c>
      <c r="B311" s="62"/>
      <c r="C311" s="62"/>
      <c r="D311" s="62"/>
      <c r="E311" s="61"/>
      <c r="F311" s="61"/>
      <c r="G311" s="46">
        <f t="shared" si="35"/>
        <v>0</v>
      </c>
      <c r="H311" s="22" t="e">
        <f t="shared" si="36"/>
        <v>#DIV/0!</v>
      </c>
      <c r="I311" s="23">
        <f>'1 - Amortisation'!G282</f>
        <v>119575.76855211327</v>
      </c>
      <c r="J311" s="25">
        <f t="shared" si="37"/>
        <v>1106.4399783832341</v>
      </c>
      <c r="K311" s="25">
        <f t="shared" si="40"/>
        <v>119575.76855211327</v>
      </c>
      <c r="M311" s="26" t="e">
        <f t="shared" si="38"/>
        <v>#DIV/0!</v>
      </c>
      <c r="N311" s="1">
        <f t="shared" si="33"/>
        <v>0</v>
      </c>
      <c r="O311" s="44">
        <f t="shared" si="39"/>
        <v>0</v>
      </c>
    </row>
    <row r="312" spans="1:15" x14ac:dyDescent="0.25">
      <c r="A312" s="24">
        <f t="shared" si="34"/>
        <v>48153</v>
      </c>
      <c r="B312" s="62"/>
      <c r="C312" s="62"/>
      <c r="D312" s="62"/>
      <c r="E312" s="61"/>
      <c r="F312" s="61"/>
      <c r="G312" s="46">
        <f t="shared" si="35"/>
        <v>0</v>
      </c>
      <c r="H312" s="22" t="e">
        <f t="shared" si="36"/>
        <v>#DIV/0!</v>
      </c>
      <c r="I312" s="23">
        <f>'1 - Amortisation'!G283</f>
        <v>118461.03027389216</v>
      </c>
      <c r="J312" s="25">
        <f t="shared" si="37"/>
        <v>1114.7382782211062</v>
      </c>
      <c r="K312" s="25">
        <f t="shared" si="40"/>
        <v>118461.03027389216</v>
      </c>
      <c r="M312" s="26" t="e">
        <f t="shared" si="38"/>
        <v>#DIV/0!</v>
      </c>
      <c r="N312" s="1">
        <f t="shared" si="33"/>
        <v>0</v>
      </c>
      <c r="O312" s="44">
        <f t="shared" si="39"/>
        <v>0</v>
      </c>
    </row>
    <row r="313" spans="1:15" x14ac:dyDescent="0.25">
      <c r="A313" s="24">
        <f t="shared" si="34"/>
        <v>48183</v>
      </c>
      <c r="B313" s="62"/>
      <c r="C313" s="62"/>
      <c r="D313" s="62"/>
      <c r="E313" s="61"/>
      <c r="F313" s="61"/>
      <c r="G313" s="46">
        <f t="shared" si="35"/>
        <v>0</v>
      </c>
      <c r="H313" s="22" t="e">
        <f t="shared" si="36"/>
        <v>#DIV/0!</v>
      </c>
      <c r="I313" s="23">
        <f>'1 - Amortisation'!G284</f>
        <v>117337.9314585844</v>
      </c>
      <c r="J313" s="25">
        <f t="shared" si="37"/>
        <v>1123.0988153077633</v>
      </c>
      <c r="K313" s="25">
        <f t="shared" si="40"/>
        <v>117337.9314585844</v>
      </c>
      <c r="M313" s="26" t="e">
        <f t="shared" si="38"/>
        <v>#DIV/0!</v>
      </c>
      <c r="N313" s="1">
        <f t="shared" si="33"/>
        <v>0</v>
      </c>
      <c r="O313" s="44">
        <f t="shared" si="39"/>
        <v>0</v>
      </c>
    </row>
    <row r="314" spans="1:15" x14ac:dyDescent="0.25">
      <c r="A314" s="24">
        <f t="shared" si="34"/>
        <v>48214</v>
      </c>
      <c r="B314" s="62"/>
      <c r="C314" s="62"/>
      <c r="D314" s="62"/>
      <c r="E314" s="61"/>
      <c r="F314" s="61"/>
      <c r="G314" s="46">
        <f t="shared" si="35"/>
        <v>0</v>
      </c>
      <c r="H314" s="22" t="e">
        <f t="shared" si="36"/>
        <v>#DIV/0!</v>
      </c>
      <c r="I314" s="23">
        <f>'1 - Amortisation'!G285</f>
        <v>116206.40940216182</v>
      </c>
      <c r="J314" s="25">
        <f t="shared" si="37"/>
        <v>1131.5220564225747</v>
      </c>
      <c r="K314" s="25">
        <f t="shared" si="40"/>
        <v>116206.40940216182</v>
      </c>
      <c r="M314" s="26" t="e">
        <f t="shared" si="38"/>
        <v>#DIV/0!</v>
      </c>
      <c r="N314" s="1">
        <f t="shared" si="33"/>
        <v>0</v>
      </c>
      <c r="O314" s="44">
        <f t="shared" si="39"/>
        <v>0</v>
      </c>
    </row>
    <row r="315" spans="1:15" x14ac:dyDescent="0.25">
      <c r="A315" s="24">
        <f t="shared" si="34"/>
        <v>48245</v>
      </c>
      <c r="B315" s="62"/>
      <c r="C315" s="62"/>
      <c r="D315" s="62"/>
      <c r="E315" s="61"/>
      <c r="F315" s="61"/>
      <c r="G315" s="46">
        <f t="shared" si="35"/>
        <v>0</v>
      </c>
      <c r="H315" s="22" t="e">
        <f t="shared" si="36"/>
        <v>#DIV/0!</v>
      </c>
      <c r="I315" s="23">
        <f>'1 - Amortisation'!G286</f>
        <v>115066.40093031609</v>
      </c>
      <c r="J315" s="25">
        <f t="shared" si="37"/>
        <v>1140.0084718457365</v>
      </c>
      <c r="K315" s="25">
        <f t="shared" si="40"/>
        <v>115066.40093031609</v>
      </c>
      <c r="M315" s="26" t="e">
        <f t="shared" si="38"/>
        <v>#DIV/0!</v>
      </c>
      <c r="N315" s="1">
        <f t="shared" si="33"/>
        <v>0</v>
      </c>
      <c r="O315" s="44">
        <f t="shared" si="39"/>
        <v>0</v>
      </c>
    </row>
    <row r="316" spans="1:15" x14ac:dyDescent="0.25">
      <c r="A316" s="24">
        <f t="shared" si="34"/>
        <v>48274</v>
      </c>
      <c r="B316" s="62"/>
      <c r="C316" s="62"/>
      <c r="D316" s="62"/>
      <c r="E316" s="61"/>
      <c r="F316" s="61"/>
      <c r="G316" s="46">
        <f t="shared" si="35"/>
        <v>0</v>
      </c>
      <c r="H316" s="22" t="e">
        <f t="shared" si="36"/>
        <v>#DIV/0!</v>
      </c>
      <c r="I316" s="23">
        <f>'1 - Amortisation'!G287</f>
        <v>113917.8423949315</v>
      </c>
      <c r="J316" s="25">
        <f t="shared" si="37"/>
        <v>1148.5585353845818</v>
      </c>
      <c r="K316" s="25">
        <f t="shared" si="40"/>
        <v>113917.8423949315</v>
      </c>
      <c r="M316" s="26" t="e">
        <f t="shared" si="38"/>
        <v>#DIV/0!</v>
      </c>
      <c r="N316" s="1">
        <f t="shared" si="33"/>
        <v>0</v>
      </c>
      <c r="O316" s="44">
        <f t="shared" si="39"/>
        <v>0</v>
      </c>
    </row>
    <row r="317" spans="1:15" x14ac:dyDescent="0.25">
      <c r="A317" s="24">
        <f t="shared" si="34"/>
        <v>48305</v>
      </c>
      <c r="B317" s="62"/>
      <c r="C317" s="62"/>
      <c r="D317" s="62"/>
      <c r="E317" s="61"/>
      <c r="F317" s="61"/>
      <c r="G317" s="46">
        <f t="shared" si="35"/>
        <v>0</v>
      </c>
      <c r="H317" s="22" t="e">
        <f t="shared" si="36"/>
        <v>#DIV/0!</v>
      </c>
      <c r="I317" s="23">
        <f>'1 - Amortisation'!G288</f>
        <v>112760.66967053154</v>
      </c>
      <c r="J317" s="25">
        <f t="shared" si="37"/>
        <v>1157.172724399963</v>
      </c>
      <c r="K317" s="25">
        <f t="shared" si="40"/>
        <v>112760.66967053154</v>
      </c>
      <c r="M317" s="26" t="e">
        <f t="shared" si="38"/>
        <v>#DIV/0!</v>
      </c>
      <c r="N317" s="1">
        <f t="shared" si="33"/>
        <v>0</v>
      </c>
      <c r="O317" s="44">
        <f t="shared" si="39"/>
        <v>0</v>
      </c>
    </row>
    <row r="318" spans="1:15" x14ac:dyDescent="0.25">
      <c r="A318" s="24">
        <f t="shared" si="34"/>
        <v>48335</v>
      </c>
      <c r="B318" s="62"/>
      <c r="C318" s="62"/>
      <c r="D318" s="62"/>
      <c r="E318" s="61"/>
      <c r="F318" s="61"/>
      <c r="G318" s="46">
        <f t="shared" si="35"/>
        <v>0</v>
      </c>
      <c r="H318" s="22" t="e">
        <f t="shared" si="36"/>
        <v>#DIV/0!</v>
      </c>
      <c r="I318" s="23">
        <f>'1 - Amortisation'!G289</f>
        <v>111594.81815069857</v>
      </c>
      <c r="J318" s="25">
        <f t="shared" si="37"/>
        <v>1165.8515198329696</v>
      </c>
      <c r="K318" s="25">
        <f t="shared" si="40"/>
        <v>111594.81815069857</v>
      </c>
      <c r="M318" s="26" t="e">
        <f t="shared" si="38"/>
        <v>#DIV/0!</v>
      </c>
      <c r="N318" s="1">
        <f t="shared" si="33"/>
        <v>0</v>
      </c>
      <c r="O318" s="44">
        <f t="shared" si="39"/>
        <v>0</v>
      </c>
    </row>
    <row r="319" spans="1:15" x14ac:dyDescent="0.25">
      <c r="A319" s="24">
        <f t="shared" si="34"/>
        <v>48366</v>
      </c>
      <c r="B319" s="62"/>
      <c r="C319" s="62"/>
      <c r="D319" s="62"/>
      <c r="E319" s="61"/>
      <c r="F319" s="61"/>
      <c r="G319" s="46">
        <f t="shared" si="35"/>
        <v>0</v>
      </c>
      <c r="H319" s="22" t="e">
        <f t="shared" si="36"/>
        <v>#DIV/0!</v>
      </c>
      <c r="I319" s="23">
        <f>'1 - Amortisation'!G290</f>
        <v>110420.22274446685</v>
      </c>
      <c r="J319" s="25">
        <f t="shared" si="37"/>
        <v>1174.5954062317178</v>
      </c>
      <c r="K319" s="25">
        <f t="shared" si="40"/>
        <v>110420.22274446685</v>
      </c>
      <c r="M319" s="26" t="e">
        <f t="shared" si="38"/>
        <v>#DIV/0!</v>
      </c>
      <c r="N319" s="1">
        <f t="shared" si="33"/>
        <v>0</v>
      </c>
      <c r="O319" s="44">
        <f t="shared" si="39"/>
        <v>0</v>
      </c>
    </row>
    <row r="320" spans="1:15" x14ac:dyDescent="0.25">
      <c r="A320" s="24">
        <f t="shared" si="34"/>
        <v>48396</v>
      </c>
      <c r="B320" s="62"/>
      <c r="C320" s="62"/>
      <c r="D320" s="62"/>
      <c r="E320" s="61"/>
      <c r="F320" s="61"/>
      <c r="G320" s="46">
        <f t="shared" si="35"/>
        <v>0</v>
      </c>
      <c r="H320" s="22" t="e">
        <f t="shared" si="36"/>
        <v>#DIV/0!</v>
      </c>
      <c r="I320" s="23">
        <f>'1 - Amortisation'!G291</f>
        <v>109236.81787268839</v>
      </c>
      <c r="J320" s="25">
        <f t="shared" si="37"/>
        <v>1183.4048717784608</v>
      </c>
      <c r="K320" s="25">
        <f t="shared" si="40"/>
        <v>109236.81787268839</v>
      </c>
      <c r="M320" s="26" t="e">
        <f t="shared" si="38"/>
        <v>#DIV/0!</v>
      </c>
      <c r="N320" s="1">
        <f t="shared" si="33"/>
        <v>0</v>
      </c>
      <c r="O320" s="44">
        <f t="shared" si="39"/>
        <v>0</v>
      </c>
    </row>
    <row r="321" spans="1:15" x14ac:dyDescent="0.25">
      <c r="A321" s="24">
        <f t="shared" si="34"/>
        <v>48427</v>
      </c>
      <c r="B321" s="62"/>
      <c r="C321" s="62"/>
      <c r="D321" s="62"/>
      <c r="E321" s="61"/>
      <c r="F321" s="61"/>
      <c r="G321" s="46">
        <f t="shared" si="35"/>
        <v>0</v>
      </c>
      <c r="H321" s="22" t="e">
        <f t="shared" si="36"/>
        <v>#DIV/0!</v>
      </c>
      <c r="I321" s="23">
        <f>'1 - Amortisation'!G292</f>
        <v>108044.53746437161</v>
      </c>
      <c r="J321" s="25">
        <f t="shared" si="37"/>
        <v>1192.2804083167866</v>
      </c>
      <c r="K321" s="25">
        <f t="shared" si="40"/>
        <v>108044.53746437161</v>
      </c>
      <c r="M321" s="26" t="e">
        <f t="shared" si="38"/>
        <v>#DIV/0!</v>
      </c>
      <c r="N321" s="1">
        <f t="shared" si="33"/>
        <v>0</v>
      </c>
      <c r="O321" s="44">
        <f t="shared" si="39"/>
        <v>0</v>
      </c>
    </row>
    <row r="322" spans="1:15" x14ac:dyDescent="0.25">
      <c r="A322" s="24">
        <f t="shared" si="34"/>
        <v>48458</v>
      </c>
      <c r="B322" s="62"/>
      <c r="C322" s="62"/>
      <c r="D322" s="62"/>
      <c r="E322" s="61"/>
      <c r="F322" s="61"/>
      <c r="G322" s="46">
        <f t="shared" si="35"/>
        <v>0</v>
      </c>
      <c r="H322" s="22" t="e">
        <f t="shared" si="36"/>
        <v>#DIV/0!</v>
      </c>
      <c r="I322" s="23">
        <f>'1 - Amortisation'!G293</f>
        <v>106843.31495299244</v>
      </c>
      <c r="J322" s="25">
        <f t="shared" si="37"/>
        <v>1201.2225113791646</v>
      </c>
      <c r="K322" s="25">
        <f t="shared" si="40"/>
        <v>106843.31495299244</v>
      </c>
      <c r="M322" s="26" t="e">
        <f t="shared" si="38"/>
        <v>#DIV/0!</v>
      </c>
      <c r="N322" s="1">
        <f t="shared" si="33"/>
        <v>0</v>
      </c>
      <c r="O322" s="44">
        <f t="shared" si="39"/>
        <v>0</v>
      </c>
    </row>
    <row r="323" spans="1:15" x14ac:dyDescent="0.25">
      <c r="A323" s="24">
        <f t="shared" si="34"/>
        <v>48488</v>
      </c>
      <c r="B323" s="62"/>
      <c r="C323" s="62"/>
      <c r="D323" s="62"/>
      <c r="E323" s="61"/>
      <c r="F323" s="61"/>
      <c r="G323" s="46">
        <f t="shared" si="35"/>
        <v>0</v>
      </c>
      <c r="H323" s="22" t="e">
        <f t="shared" si="36"/>
        <v>#DIV/0!</v>
      </c>
      <c r="I323" s="23">
        <f>'1 - Amortisation'!G294</f>
        <v>105633.08327277793</v>
      </c>
      <c r="J323" s="25">
        <f t="shared" si="37"/>
        <v>1210.2316802145069</v>
      </c>
      <c r="K323" s="25">
        <f t="shared" si="40"/>
        <v>105633.08327277793</v>
      </c>
      <c r="M323" s="26" t="e">
        <f t="shared" si="38"/>
        <v>#DIV/0!</v>
      </c>
      <c r="N323" s="1">
        <f t="shared" si="33"/>
        <v>0</v>
      </c>
      <c r="O323" s="44">
        <f t="shared" si="39"/>
        <v>0</v>
      </c>
    </row>
    <row r="324" spans="1:15" x14ac:dyDescent="0.25">
      <c r="A324" s="24">
        <f t="shared" si="34"/>
        <v>48519</v>
      </c>
      <c r="B324" s="62"/>
      <c r="C324" s="62"/>
      <c r="D324" s="62"/>
      <c r="E324" s="61"/>
      <c r="F324" s="61"/>
      <c r="G324" s="46">
        <f t="shared" si="35"/>
        <v>0</v>
      </c>
      <c r="H324" s="22" t="e">
        <f t="shared" si="36"/>
        <v>#DIV/0!</v>
      </c>
      <c r="I324" s="23">
        <f>'1 - Amortisation'!G295</f>
        <v>104413.77485496181</v>
      </c>
      <c r="J324" s="25">
        <f t="shared" si="37"/>
        <v>1219.3084178161225</v>
      </c>
      <c r="K324" s="25">
        <f t="shared" si="40"/>
        <v>104413.77485496181</v>
      </c>
      <c r="M324" s="26" t="e">
        <f t="shared" si="38"/>
        <v>#DIV/0!</v>
      </c>
      <c r="N324" s="1">
        <f t="shared" si="33"/>
        <v>0</v>
      </c>
      <c r="O324" s="44">
        <f t="shared" si="39"/>
        <v>0</v>
      </c>
    </row>
    <row r="325" spans="1:15" x14ac:dyDescent="0.25">
      <c r="A325" s="24">
        <f t="shared" si="34"/>
        <v>48549</v>
      </c>
      <c r="B325" s="62"/>
      <c r="C325" s="62"/>
      <c r="D325" s="62"/>
      <c r="E325" s="61"/>
      <c r="F325" s="61"/>
      <c r="G325" s="46">
        <f t="shared" si="35"/>
        <v>0</v>
      </c>
      <c r="H325" s="22" t="e">
        <f t="shared" si="36"/>
        <v>#DIV/0!</v>
      </c>
      <c r="I325" s="23">
        <f>'1 - Amortisation'!G296</f>
        <v>103185.32162401207</v>
      </c>
      <c r="J325" s="25">
        <f t="shared" si="37"/>
        <v>1228.4532309497445</v>
      </c>
      <c r="K325" s="25">
        <f t="shared" si="40"/>
        <v>103185.32162401207</v>
      </c>
      <c r="M325" s="26" t="e">
        <f t="shared" si="38"/>
        <v>#DIV/0!</v>
      </c>
      <c r="N325" s="1">
        <f t="shared" si="33"/>
        <v>0</v>
      </c>
      <c r="O325" s="44">
        <f t="shared" si="39"/>
        <v>0</v>
      </c>
    </row>
    <row r="326" spans="1:15" x14ac:dyDescent="0.25">
      <c r="A326" s="24">
        <f t="shared" si="34"/>
        <v>48580</v>
      </c>
      <c r="B326" s="62"/>
      <c r="C326" s="62"/>
      <c r="D326" s="62"/>
      <c r="E326" s="61"/>
      <c r="F326" s="61"/>
      <c r="G326" s="46">
        <f t="shared" si="35"/>
        <v>0</v>
      </c>
      <c r="H326" s="22" t="e">
        <f t="shared" si="36"/>
        <v>#DIV/0!</v>
      </c>
      <c r="I326" s="23">
        <f>'1 - Amortisation'!G297</f>
        <v>101947.65499383021</v>
      </c>
      <c r="J326" s="25">
        <f t="shared" si="37"/>
        <v>1237.6666301818623</v>
      </c>
      <c r="K326" s="25">
        <f t="shared" si="40"/>
        <v>101947.65499383021</v>
      </c>
      <c r="M326" s="26" t="e">
        <f t="shared" si="38"/>
        <v>#DIV/0!</v>
      </c>
      <c r="N326" s="1">
        <f t="shared" si="33"/>
        <v>0</v>
      </c>
      <c r="O326" s="44">
        <f t="shared" si="39"/>
        <v>0</v>
      </c>
    </row>
    <row r="327" spans="1:15" x14ac:dyDescent="0.25">
      <c r="A327" s="24">
        <f t="shared" si="34"/>
        <v>48611</v>
      </c>
      <c r="B327" s="62"/>
      <c r="C327" s="62"/>
      <c r="D327" s="62"/>
      <c r="E327" s="61"/>
      <c r="F327" s="61"/>
      <c r="G327" s="46">
        <f t="shared" si="35"/>
        <v>0</v>
      </c>
      <c r="H327" s="22" t="e">
        <f t="shared" si="36"/>
        <v>#DIV/0!</v>
      </c>
      <c r="I327" s="23">
        <f>'1 - Amortisation'!G298</f>
        <v>100700.70586392198</v>
      </c>
      <c r="J327" s="25">
        <f t="shared" si="37"/>
        <v>1246.9491299082292</v>
      </c>
      <c r="K327" s="25">
        <f t="shared" si="40"/>
        <v>100700.70586392198</v>
      </c>
      <c r="M327" s="26" t="e">
        <f t="shared" si="38"/>
        <v>#DIV/0!</v>
      </c>
      <c r="N327" s="1">
        <f t="shared" si="33"/>
        <v>0</v>
      </c>
      <c r="O327" s="44">
        <f t="shared" si="39"/>
        <v>0</v>
      </c>
    </row>
    <row r="328" spans="1:15" x14ac:dyDescent="0.25">
      <c r="A328" s="24">
        <f t="shared" si="34"/>
        <v>48639</v>
      </c>
      <c r="B328" s="62"/>
      <c r="C328" s="62"/>
      <c r="D328" s="62"/>
      <c r="E328" s="61"/>
      <c r="F328" s="61"/>
      <c r="G328" s="46">
        <f t="shared" si="35"/>
        <v>0</v>
      </c>
      <c r="H328" s="22" t="e">
        <f t="shared" si="36"/>
        <v>#DIV/0!</v>
      </c>
      <c r="I328" s="23">
        <f>'1 - Amortisation'!G299</f>
        <v>99444.404615539432</v>
      </c>
      <c r="J328" s="25">
        <f t="shared" si="37"/>
        <v>1256.3012483825441</v>
      </c>
      <c r="K328" s="25">
        <f t="shared" si="40"/>
        <v>99444.404615539432</v>
      </c>
      <c r="M328" s="26" t="e">
        <f t="shared" si="38"/>
        <v>#DIV/0!</v>
      </c>
      <c r="N328" s="1">
        <f t="shared" si="33"/>
        <v>0</v>
      </c>
      <c r="O328" s="44">
        <f t="shared" si="39"/>
        <v>0</v>
      </c>
    </row>
    <row r="329" spans="1:15" x14ac:dyDescent="0.25">
      <c r="A329" s="24">
        <f t="shared" si="34"/>
        <v>48670</v>
      </c>
      <c r="B329" s="62"/>
      <c r="C329" s="62"/>
      <c r="D329" s="62"/>
      <c r="E329" s="61"/>
      <c r="F329" s="61"/>
      <c r="G329" s="46">
        <f t="shared" si="35"/>
        <v>0</v>
      </c>
      <c r="H329" s="22" t="e">
        <f t="shared" si="36"/>
        <v>#DIV/0!</v>
      </c>
      <c r="I329" s="23">
        <f>'1 - Amortisation'!G300</f>
        <v>98178.681107794022</v>
      </c>
      <c r="J329" s="25">
        <f t="shared" si="37"/>
        <v>1265.7235077454097</v>
      </c>
      <c r="K329" s="25">
        <f t="shared" si="40"/>
        <v>98178.681107794022</v>
      </c>
      <c r="M329" s="26" t="e">
        <f t="shared" si="38"/>
        <v>#DIV/0!</v>
      </c>
      <c r="N329" s="1">
        <f t="shared" si="33"/>
        <v>0</v>
      </c>
      <c r="O329" s="44">
        <f t="shared" si="39"/>
        <v>0</v>
      </c>
    </row>
    <row r="330" spans="1:15" x14ac:dyDescent="0.25">
      <c r="A330" s="24">
        <f t="shared" si="34"/>
        <v>48700</v>
      </c>
      <c r="B330" s="62"/>
      <c r="C330" s="62"/>
      <c r="D330" s="62"/>
      <c r="E330" s="61"/>
      <c r="F330" s="61"/>
      <c r="G330" s="46">
        <f t="shared" si="35"/>
        <v>0</v>
      </c>
      <c r="H330" s="22" t="e">
        <f t="shared" si="36"/>
        <v>#DIV/0!</v>
      </c>
      <c r="I330" s="23">
        <f>'1 - Amortisation'!G301</f>
        <v>96903.464673740527</v>
      </c>
      <c r="J330" s="25">
        <f t="shared" si="37"/>
        <v>1275.2164340534946</v>
      </c>
      <c r="K330" s="25">
        <f t="shared" si="40"/>
        <v>96903.464673740527</v>
      </c>
      <c r="M330" s="26" t="e">
        <f t="shared" si="38"/>
        <v>#DIV/0!</v>
      </c>
      <c r="N330" s="1">
        <f t="shared" si="33"/>
        <v>0</v>
      </c>
      <c r="O330" s="44">
        <f t="shared" si="39"/>
        <v>0</v>
      </c>
    </row>
    <row r="331" spans="1:15" x14ac:dyDescent="0.25">
      <c r="A331" s="24">
        <f t="shared" si="34"/>
        <v>48731</v>
      </c>
      <c r="B331" s="62"/>
      <c r="C331" s="62"/>
      <c r="D331" s="62"/>
      <c r="E331" s="61"/>
      <c r="F331" s="61"/>
      <c r="G331" s="46">
        <f t="shared" si="35"/>
        <v>0</v>
      </c>
      <c r="H331" s="22" t="e">
        <f t="shared" si="36"/>
        <v>#DIV/0!</v>
      </c>
      <c r="I331" s="23">
        <f>'1 - Amortisation'!G302</f>
        <v>95618.684116431628</v>
      </c>
      <c r="J331" s="25">
        <f t="shared" si="37"/>
        <v>1284.780557308899</v>
      </c>
      <c r="K331" s="25">
        <f t="shared" si="40"/>
        <v>95618.684116431628</v>
      </c>
      <c r="M331" s="26" t="e">
        <f t="shared" si="38"/>
        <v>#DIV/0!</v>
      </c>
      <c r="N331" s="1">
        <f t="shared" si="33"/>
        <v>0</v>
      </c>
      <c r="O331" s="44">
        <f t="shared" si="39"/>
        <v>0</v>
      </c>
    </row>
    <row r="332" spans="1:15" x14ac:dyDescent="0.25">
      <c r="A332" s="24">
        <f t="shared" si="34"/>
        <v>48761</v>
      </c>
      <c r="B332" s="62"/>
      <c r="C332" s="62"/>
      <c r="D332" s="62"/>
      <c r="E332" s="61"/>
      <c r="F332" s="61"/>
      <c r="G332" s="46">
        <f t="shared" si="35"/>
        <v>0</v>
      </c>
      <c r="H332" s="22" t="e">
        <f t="shared" si="36"/>
        <v>#DIV/0!</v>
      </c>
      <c r="I332" s="23">
        <f>'1 - Amortisation'!G303</f>
        <v>94324.267704942904</v>
      </c>
      <c r="J332" s="25">
        <f t="shared" si="37"/>
        <v>1294.4164114887244</v>
      </c>
      <c r="K332" s="25">
        <f t="shared" si="40"/>
        <v>94324.267704942904</v>
      </c>
      <c r="M332" s="26" t="e">
        <f t="shared" si="38"/>
        <v>#DIV/0!</v>
      </c>
      <c r="N332" s="1">
        <f t="shared" si="33"/>
        <v>0</v>
      </c>
      <c r="O332" s="44">
        <f t="shared" si="39"/>
        <v>0</v>
      </c>
    </row>
    <row r="333" spans="1:15" x14ac:dyDescent="0.25">
      <c r="A333" s="24">
        <f t="shared" si="34"/>
        <v>48792</v>
      </c>
      <c r="B333" s="62"/>
      <c r="C333" s="62"/>
      <c r="D333" s="62"/>
      <c r="E333" s="61"/>
      <c r="F333" s="61"/>
      <c r="G333" s="46">
        <f t="shared" si="35"/>
        <v>0</v>
      </c>
      <c r="H333" s="22" t="e">
        <f t="shared" si="36"/>
        <v>#DIV/0!</v>
      </c>
      <c r="I333" s="23">
        <f>'1 - Amortisation'!G304</f>
        <v>93020.143170368014</v>
      </c>
      <c r="J333" s="25">
        <f t="shared" si="37"/>
        <v>1304.1245345748903</v>
      </c>
      <c r="K333" s="25">
        <f t="shared" si="40"/>
        <v>93020.143170368014</v>
      </c>
      <c r="M333" s="26" t="e">
        <f t="shared" si="38"/>
        <v>#DIV/0!</v>
      </c>
      <c r="N333" s="1">
        <f t="shared" si="33"/>
        <v>0</v>
      </c>
      <c r="O333" s="44">
        <f t="shared" si="39"/>
        <v>0</v>
      </c>
    </row>
    <row r="334" spans="1:15" x14ac:dyDescent="0.25">
      <c r="A334" s="24">
        <f t="shared" si="34"/>
        <v>48823</v>
      </c>
      <c r="B334" s="62"/>
      <c r="C334" s="62"/>
      <c r="D334" s="62"/>
      <c r="E334" s="61"/>
      <c r="F334" s="61"/>
      <c r="G334" s="46">
        <f t="shared" si="35"/>
        <v>0</v>
      </c>
      <c r="H334" s="22" t="e">
        <f t="shared" si="36"/>
        <v>#DIV/0!</v>
      </c>
      <c r="I334" s="23">
        <f>'1 - Amortisation'!G305</f>
        <v>91706.237701783815</v>
      </c>
      <c r="J334" s="25">
        <f t="shared" si="37"/>
        <v>1313.9054685841984</v>
      </c>
      <c r="K334" s="25">
        <f t="shared" si="40"/>
        <v>91706.237701783815</v>
      </c>
      <c r="M334" s="26" t="e">
        <f t="shared" si="38"/>
        <v>#DIV/0!</v>
      </c>
      <c r="N334" s="1">
        <f t="shared" si="33"/>
        <v>0</v>
      </c>
      <c r="O334" s="44">
        <f t="shared" si="39"/>
        <v>0</v>
      </c>
    </row>
    <row r="335" spans="1:15" x14ac:dyDescent="0.25">
      <c r="A335" s="24">
        <f t="shared" si="34"/>
        <v>48853</v>
      </c>
      <c r="B335" s="62"/>
      <c r="C335" s="62"/>
      <c r="D335" s="62"/>
      <c r="E335" s="61"/>
      <c r="F335" s="61"/>
      <c r="G335" s="46">
        <f t="shared" si="35"/>
        <v>0</v>
      </c>
      <c r="H335" s="22" t="e">
        <f t="shared" si="36"/>
        <v>#DIV/0!</v>
      </c>
      <c r="I335" s="23">
        <f>'1 - Amortisation'!G306</f>
        <v>90382.477942185244</v>
      </c>
      <c r="J335" s="25">
        <f t="shared" si="37"/>
        <v>1323.7597595985717</v>
      </c>
      <c r="K335" s="25">
        <f t="shared" si="40"/>
        <v>90382.477942185244</v>
      </c>
      <c r="M335" s="26" t="e">
        <f t="shared" si="38"/>
        <v>#DIV/0!</v>
      </c>
      <c r="N335" s="1">
        <f t="shared" si="33"/>
        <v>0</v>
      </c>
      <c r="O335" s="44">
        <f t="shared" si="39"/>
        <v>0</v>
      </c>
    </row>
    <row r="336" spans="1:15" x14ac:dyDescent="0.25">
      <c r="A336" s="24">
        <f t="shared" si="34"/>
        <v>48884</v>
      </c>
      <c r="B336" s="62"/>
      <c r="C336" s="62"/>
      <c r="D336" s="62"/>
      <c r="E336" s="61"/>
      <c r="F336" s="61"/>
      <c r="G336" s="46">
        <f t="shared" si="35"/>
        <v>0</v>
      </c>
      <c r="H336" s="22" t="e">
        <f t="shared" si="36"/>
        <v>#DIV/0!</v>
      </c>
      <c r="I336" s="23">
        <f>'1 - Amortisation'!G307</f>
        <v>89048.789984389674</v>
      </c>
      <c r="J336" s="25">
        <f t="shared" si="37"/>
        <v>1333.6879577955697</v>
      </c>
      <c r="K336" s="25">
        <f t="shared" si="40"/>
        <v>89048.789984389674</v>
      </c>
      <c r="M336" s="26" t="e">
        <f t="shared" si="38"/>
        <v>#DIV/0!</v>
      </c>
      <c r="N336" s="1">
        <f t="shared" si="33"/>
        <v>0</v>
      </c>
      <c r="O336" s="44">
        <f t="shared" si="39"/>
        <v>0</v>
      </c>
    </row>
    <row r="337" spans="1:15" x14ac:dyDescent="0.25">
      <c r="A337" s="24">
        <f t="shared" si="34"/>
        <v>48914</v>
      </c>
      <c r="B337" s="62"/>
      <c r="C337" s="62"/>
      <c r="D337" s="62"/>
      <c r="E337" s="61"/>
      <c r="F337" s="61"/>
      <c r="G337" s="46">
        <f t="shared" si="35"/>
        <v>0</v>
      </c>
      <c r="H337" s="22" t="e">
        <f t="shared" si="36"/>
        <v>#DIV/0!</v>
      </c>
      <c r="I337" s="23">
        <f>'1 - Amortisation'!G308</f>
        <v>87705.099366910639</v>
      </c>
      <c r="J337" s="25">
        <f t="shared" si="37"/>
        <v>1343.6906174790347</v>
      </c>
      <c r="K337" s="25">
        <f t="shared" si="40"/>
        <v>87705.099366910639</v>
      </c>
      <c r="M337" s="26" t="e">
        <f t="shared" si="38"/>
        <v>#DIV/0!</v>
      </c>
      <c r="N337" s="1">
        <f t="shared" si="33"/>
        <v>0</v>
      </c>
      <c r="O337" s="44">
        <f t="shared" si="39"/>
        <v>0</v>
      </c>
    </row>
    <row r="338" spans="1:15" x14ac:dyDescent="0.25">
      <c r="A338" s="24">
        <f t="shared" si="34"/>
        <v>48945</v>
      </c>
      <c r="B338" s="62"/>
      <c r="C338" s="62"/>
      <c r="D338" s="62"/>
      <c r="E338" s="61"/>
      <c r="F338" s="61"/>
      <c r="G338" s="46">
        <f t="shared" si="35"/>
        <v>0</v>
      </c>
      <c r="H338" s="22" t="e">
        <f t="shared" si="36"/>
        <v>#DIV/0!</v>
      </c>
      <c r="I338" s="23">
        <f>'1 - Amortisation'!G309</f>
        <v>86351.331069800508</v>
      </c>
      <c r="J338" s="25">
        <f t="shared" si="37"/>
        <v>1353.7682971101312</v>
      </c>
      <c r="K338" s="25">
        <f t="shared" si="40"/>
        <v>86351.331069800508</v>
      </c>
      <c r="M338" s="26" t="e">
        <f t="shared" si="38"/>
        <v>#DIV/0!</v>
      </c>
      <c r="N338" s="1">
        <f t="shared" si="33"/>
        <v>0</v>
      </c>
      <c r="O338" s="44">
        <f t="shared" si="39"/>
        <v>0</v>
      </c>
    </row>
    <row r="339" spans="1:15" x14ac:dyDescent="0.25">
      <c r="A339" s="24">
        <f t="shared" si="34"/>
        <v>48976</v>
      </c>
      <c r="B339" s="62"/>
      <c r="C339" s="62"/>
      <c r="D339" s="62"/>
      <c r="E339" s="61"/>
      <c r="F339" s="61"/>
      <c r="G339" s="46">
        <f t="shared" si="35"/>
        <v>0</v>
      </c>
      <c r="H339" s="22" t="e">
        <f t="shared" si="36"/>
        <v>#DIV/0!</v>
      </c>
      <c r="I339" s="23">
        <f>'1 - Amortisation'!G310</f>
        <v>84987.40951046205</v>
      </c>
      <c r="J339" s="25">
        <f t="shared" si="37"/>
        <v>1363.9215593384579</v>
      </c>
      <c r="K339" s="25">
        <f t="shared" si="40"/>
        <v>84987.40951046205</v>
      </c>
      <c r="M339" s="26" t="e">
        <f t="shared" si="38"/>
        <v>#DIV/0!</v>
      </c>
      <c r="N339" s="1">
        <f t="shared" si="33"/>
        <v>0</v>
      </c>
      <c r="O339" s="44">
        <f t="shared" si="39"/>
        <v>0</v>
      </c>
    </row>
    <row r="340" spans="1:15" x14ac:dyDescent="0.25">
      <c r="A340" s="24">
        <f t="shared" si="34"/>
        <v>49004</v>
      </c>
      <c r="B340" s="62"/>
      <c r="C340" s="62"/>
      <c r="D340" s="62"/>
      <c r="E340" s="61"/>
      <c r="F340" s="61"/>
      <c r="G340" s="46">
        <f t="shared" si="35"/>
        <v>0</v>
      </c>
      <c r="H340" s="22" t="e">
        <f t="shared" si="36"/>
        <v>#DIV/0!</v>
      </c>
      <c r="I340" s="23">
        <f>'1 - Amortisation'!G311</f>
        <v>83613.258539428556</v>
      </c>
      <c r="J340" s="25">
        <f t="shared" si="37"/>
        <v>1374.150971033494</v>
      </c>
      <c r="K340" s="25">
        <f t="shared" si="40"/>
        <v>83613.258539428556</v>
      </c>
      <c r="M340" s="26" t="e">
        <f t="shared" si="38"/>
        <v>#DIV/0!</v>
      </c>
      <c r="N340" s="1">
        <f t="shared" si="33"/>
        <v>0</v>
      </c>
      <c r="O340" s="44">
        <f t="shared" si="39"/>
        <v>0</v>
      </c>
    </row>
    <row r="341" spans="1:15" x14ac:dyDescent="0.25">
      <c r="A341" s="24">
        <f t="shared" si="34"/>
        <v>49035</v>
      </c>
      <c r="B341" s="62"/>
      <c r="C341" s="62"/>
      <c r="D341" s="62"/>
      <c r="E341" s="61"/>
      <c r="F341" s="61"/>
      <c r="G341" s="46">
        <f t="shared" si="35"/>
        <v>0</v>
      </c>
      <c r="H341" s="22" t="e">
        <f t="shared" si="36"/>
        <v>#DIV/0!</v>
      </c>
      <c r="I341" s="23">
        <f>'1 - Amortisation'!G312</f>
        <v>82228.801436112321</v>
      </c>
      <c r="J341" s="25">
        <f t="shared" si="37"/>
        <v>1384.4571033162356</v>
      </c>
      <c r="K341" s="25">
        <f t="shared" si="40"/>
        <v>82228.801436112321</v>
      </c>
      <c r="M341" s="26" t="e">
        <f t="shared" si="38"/>
        <v>#DIV/0!</v>
      </c>
      <c r="N341" s="1">
        <f t="shared" si="33"/>
        <v>0</v>
      </c>
      <c r="O341" s="44">
        <f t="shared" si="39"/>
        <v>0</v>
      </c>
    </row>
    <row r="342" spans="1:15" x14ac:dyDescent="0.25">
      <c r="A342" s="24">
        <f t="shared" si="34"/>
        <v>49065</v>
      </c>
      <c r="B342" s="62"/>
      <c r="C342" s="62"/>
      <c r="D342" s="62"/>
      <c r="E342" s="61"/>
      <c r="F342" s="61"/>
      <c r="G342" s="46">
        <f t="shared" si="35"/>
        <v>0</v>
      </c>
      <c r="H342" s="22" t="e">
        <f t="shared" si="36"/>
        <v>#DIV/0!</v>
      </c>
      <c r="I342" s="23">
        <f>'1 - Amortisation'!G313</f>
        <v>80833.960904521213</v>
      </c>
      <c r="J342" s="25">
        <f t="shared" si="37"/>
        <v>1394.8405315911077</v>
      </c>
      <c r="K342" s="25">
        <f t="shared" si="40"/>
        <v>80833.960904521213</v>
      </c>
      <c r="M342" s="26" t="e">
        <f t="shared" si="38"/>
        <v>#DIV/0!</v>
      </c>
      <c r="N342" s="1">
        <f t="shared" si="33"/>
        <v>0</v>
      </c>
      <c r="O342" s="44">
        <f t="shared" si="39"/>
        <v>0</v>
      </c>
    </row>
    <row r="343" spans="1:15" x14ac:dyDescent="0.25">
      <c r="A343" s="24">
        <f t="shared" si="34"/>
        <v>49096</v>
      </c>
      <c r="B343" s="62"/>
      <c r="C343" s="62"/>
      <c r="D343" s="62"/>
      <c r="E343" s="61"/>
      <c r="F343" s="61"/>
      <c r="G343" s="46">
        <f t="shared" si="35"/>
        <v>0</v>
      </c>
      <c r="H343" s="22" t="e">
        <f t="shared" si="36"/>
        <v>#DIV/0!</v>
      </c>
      <c r="I343" s="23">
        <f>'1 - Amortisation'!G314</f>
        <v>79428.659068943161</v>
      </c>
      <c r="J343" s="25">
        <f t="shared" si="37"/>
        <v>1405.3018355780514</v>
      </c>
      <c r="K343" s="25">
        <f t="shared" si="40"/>
        <v>79428.659068943161</v>
      </c>
      <c r="M343" s="26" t="e">
        <f t="shared" si="38"/>
        <v>#DIV/0!</v>
      </c>
      <c r="N343" s="1">
        <f t="shared" si="33"/>
        <v>0</v>
      </c>
      <c r="O343" s="44">
        <f t="shared" si="39"/>
        <v>0</v>
      </c>
    </row>
    <row r="344" spans="1:15" x14ac:dyDescent="0.25">
      <c r="A344" s="24">
        <f t="shared" si="34"/>
        <v>49126</v>
      </c>
      <c r="B344" s="62"/>
      <c r="C344" s="62"/>
      <c r="D344" s="62"/>
      <c r="E344" s="61"/>
      <c r="F344" s="61"/>
      <c r="G344" s="46">
        <f t="shared" si="35"/>
        <v>0</v>
      </c>
      <c r="H344" s="22" t="e">
        <f t="shared" si="36"/>
        <v>#DIV/0!</v>
      </c>
      <c r="I344" s="23">
        <f>'1 - Amortisation'!G315</f>
        <v>78012.817469598274</v>
      </c>
      <c r="J344" s="25">
        <f t="shared" si="37"/>
        <v>1415.8415993448871</v>
      </c>
      <c r="K344" s="25">
        <f t="shared" si="40"/>
        <v>78012.817469598274</v>
      </c>
      <c r="M344" s="26" t="e">
        <f t="shared" si="38"/>
        <v>#DIV/0!</v>
      </c>
      <c r="N344" s="1">
        <f t="shared" ref="N344:N390" si="41">IF(F344&gt;0,F343-F344,0)</f>
        <v>0</v>
      </c>
      <c r="O344" s="44">
        <f t="shared" si="39"/>
        <v>0</v>
      </c>
    </row>
    <row r="345" spans="1:15" x14ac:dyDescent="0.25">
      <c r="A345" s="24">
        <f t="shared" si="34"/>
        <v>49157</v>
      </c>
      <c r="B345" s="62"/>
      <c r="C345" s="62"/>
      <c r="D345" s="62"/>
      <c r="E345" s="61"/>
      <c r="F345" s="61"/>
      <c r="G345" s="46">
        <f t="shared" si="35"/>
        <v>0</v>
      </c>
      <c r="H345" s="22" t="e">
        <f t="shared" si="36"/>
        <v>#DIV/0!</v>
      </c>
      <c r="I345" s="23">
        <f>'1 - Amortisation'!G316</f>
        <v>76586.357058258305</v>
      </c>
      <c r="J345" s="25">
        <f t="shared" si="37"/>
        <v>1426.4604113399691</v>
      </c>
      <c r="K345" s="25">
        <f t="shared" si="40"/>
        <v>76586.357058258305</v>
      </c>
      <c r="M345" s="26" t="e">
        <f t="shared" si="38"/>
        <v>#DIV/0!</v>
      </c>
      <c r="N345" s="1">
        <f t="shared" si="41"/>
        <v>0</v>
      </c>
      <c r="O345" s="44">
        <f t="shared" si="39"/>
        <v>0</v>
      </c>
    </row>
    <row r="346" spans="1:15" x14ac:dyDescent="0.25">
      <c r="A346" s="24">
        <f t="shared" si="34"/>
        <v>49188</v>
      </c>
      <c r="B346" s="62"/>
      <c r="C346" s="62"/>
      <c r="D346" s="62"/>
      <c r="E346" s="61"/>
      <c r="F346" s="61"/>
      <c r="G346" s="46">
        <f t="shared" si="35"/>
        <v>0</v>
      </c>
      <c r="H346" s="22" t="e">
        <f t="shared" si="36"/>
        <v>#DIV/0!</v>
      </c>
      <c r="I346" s="23">
        <f>'1 - Amortisation'!G317</f>
        <v>75149.19819383329</v>
      </c>
      <c r="J346" s="25">
        <f t="shared" si="37"/>
        <v>1437.1588644250151</v>
      </c>
      <c r="K346" s="25">
        <f t="shared" si="40"/>
        <v>75149.19819383329</v>
      </c>
      <c r="M346" s="26" t="e">
        <f t="shared" si="38"/>
        <v>#DIV/0!</v>
      </c>
      <c r="N346" s="1">
        <f t="shared" si="41"/>
        <v>0</v>
      </c>
      <c r="O346" s="44">
        <f t="shared" si="39"/>
        <v>0</v>
      </c>
    </row>
    <row r="347" spans="1:15" x14ac:dyDescent="0.25">
      <c r="A347" s="24">
        <f t="shared" si="34"/>
        <v>49218</v>
      </c>
      <c r="B347" s="62"/>
      <c r="C347" s="62"/>
      <c r="D347" s="62"/>
      <c r="E347" s="61"/>
      <c r="F347" s="61"/>
      <c r="G347" s="46">
        <f t="shared" si="35"/>
        <v>0</v>
      </c>
      <c r="H347" s="22" t="e">
        <f t="shared" si="36"/>
        <v>#DIV/0!</v>
      </c>
      <c r="I347" s="23">
        <f>'1 - Amortisation'!G318</f>
        <v>73701.260637925079</v>
      </c>
      <c r="J347" s="25">
        <f t="shared" si="37"/>
        <v>1447.9375559082109</v>
      </c>
      <c r="K347" s="25">
        <f t="shared" si="40"/>
        <v>73701.260637925079</v>
      </c>
      <c r="M347" s="26" t="e">
        <f t="shared" si="38"/>
        <v>#DIV/0!</v>
      </c>
      <c r="N347" s="1">
        <f t="shared" si="41"/>
        <v>0</v>
      </c>
      <c r="O347" s="44">
        <f t="shared" si="39"/>
        <v>0</v>
      </c>
    </row>
    <row r="348" spans="1:15" x14ac:dyDescent="0.25">
      <c r="A348" s="24">
        <f t="shared" si="34"/>
        <v>49249</v>
      </c>
      <c r="B348" s="62"/>
      <c r="C348" s="62"/>
      <c r="D348" s="62"/>
      <c r="E348" s="61"/>
      <c r="F348" s="61"/>
      <c r="G348" s="46">
        <f t="shared" si="35"/>
        <v>0</v>
      </c>
      <c r="H348" s="22" t="e">
        <f t="shared" si="36"/>
        <v>#DIV/0!</v>
      </c>
      <c r="I348" s="23">
        <f>'1 - Amortisation'!G319</f>
        <v>72242.463550347558</v>
      </c>
      <c r="J348" s="25">
        <f t="shared" si="37"/>
        <v>1458.7970875775209</v>
      </c>
      <c r="K348" s="25">
        <f t="shared" si="40"/>
        <v>72242.463550347558</v>
      </c>
      <c r="M348" s="26" t="e">
        <f t="shared" si="38"/>
        <v>#DIV/0!</v>
      </c>
      <c r="N348" s="1">
        <f t="shared" si="41"/>
        <v>0</v>
      </c>
      <c r="O348" s="44">
        <f t="shared" si="39"/>
        <v>0</v>
      </c>
    </row>
    <row r="349" spans="1:15" x14ac:dyDescent="0.25">
      <c r="A349" s="24">
        <f t="shared" si="34"/>
        <v>49279</v>
      </c>
      <c r="B349" s="62"/>
      <c r="C349" s="62"/>
      <c r="D349" s="62"/>
      <c r="E349" s="61"/>
      <c r="F349" s="61"/>
      <c r="G349" s="46">
        <f t="shared" si="35"/>
        <v>0</v>
      </c>
      <c r="H349" s="22" t="e">
        <f t="shared" si="36"/>
        <v>#DIV/0!</v>
      </c>
      <c r="I349" s="23">
        <f>'1 - Amortisation'!G320</f>
        <v>70772.725484613213</v>
      </c>
      <c r="J349" s="25">
        <f>I348-I349</f>
        <v>1469.7380657343456</v>
      </c>
      <c r="K349" s="25">
        <f t="shared" si="40"/>
        <v>70772.725484613213</v>
      </c>
      <c r="M349" s="26" t="e">
        <f t="shared" si="38"/>
        <v>#DIV/0!</v>
      </c>
      <c r="N349" s="1">
        <f t="shared" si="41"/>
        <v>0</v>
      </c>
      <c r="O349" s="44">
        <f t="shared" si="39"/>
        <v>0</v>
      </c>
    </row>
    <row r="350" spans="1:15" x14ac:dyDescent="0.25">
      <c r="A350" s="24">
        <f t="shared" si="34"/>
        <v>49310</v>
      </c>
      <c r="B350" s="62"/>
      <c r="C350" s="62"/>
      <c r="D350" s="62"/>
      <c r="E350" s="61"/>
      <c r="F350" s="61"/>
      <c r="G350" s="46">
        <f t="shared" si="35"/>
        <v>0</v>
      </c>
      <c r="H350" s="22" t="e">
        <f t="shared" si="36"/>
        <v>#DIV/0!</v>
      </c>
      <c r="I350" s="23">
        <f>'1 - Amortisation'!G321</f>
        <v>69291.964383385857</v>
      </c>
      <c r="J350" s="25">
        <f t="shared" ref="J350:J360" si="42">I349-I350</f>
        <v>1480.7611012273555</v>
      </c>
      <c r="K350" s="25">
        <f t="shared" si="40"/>
        <v>69291.964383385857</v>
      </c>
      <c r="M350" s="26" t="e">
        <f t="shared" si="38"/>
        <v>#DIV/0!</v>
      </c>
      <c r="N350" s="1">
        <f t="shared" si="41"/>
        <v>0</v>
      </c>
      <c r="O350" s="44">
        <f t="shared" si="39"/>
        <v>0</v>
      </c>
    </row>
    <row r="351" spans="1:15" x14ac:dyDescent="0.25">
      <c r="A351" s="24">
        <f t="shared" si="34"/>
        <v>49341</v>
      </c>
      <c r="B351" s="62"/>
      <c r="C351" s="62"/>
      <c r="D351" s="62"/>
      <c r="E351" s="61"/>
      <c r="F351" s="61"/>
      <c r="G351" s="46">
        <f t="shared" si="35"/>
        <v>0</v>
      </c>
      <c r="H351" s="22" t="e">
        <f t="shared" si="36"/>
        <v>#DIV/0!</v>
      </c>
      <c r="I351" s="23">
        <f>'1 - Amortisation'!G322</f>
        <v>67800.0975738993</v>
      </c>
      <c r="J351" s="25">
        <f t="shared" si="42"/>
        <v>1491.866809486557</v>
      </c>
      <c r="K351" s="25">
        <f t="shared" si="40"/>
        <v>67800.0975738993</v>
      </c>
      <c r="M351" s="26" t="e">
        <f t="shared" si="38"/>
        <v>#DIV/0!</v>
      </c>
      <c r="N351" s="1">
        <f t="shared" si="41"/>
        <v>0</v>
      </c>
      <c r="O351" s="44">
        <f t="shared" si="39"/>
        <v>0</v>
      </c>
    </row>
    <row r="352" spans="1:15" x14ac:dyDescent="0.25">
      <c r="A352" s="24">
        <f t="shared" si="34"/>
        <v>49369</v>
      </c>
      <c r="B352" s="62"/>
      <c r="C352" s="62"/>
      <c r="D352" s="62"/>
      <c r="E352" s="61"/>
      <c r="F352" s="61"/>
      <c r="G352" s="46">
        <f t="shared" si="35"/>
        <v>0</v>
      </c>
      <c r="H352" s="22" t="e">
        <f t="shared" si="36"/>
        <v>#DIV/0!</v>
      </c>
      <c r="I352" s="23">
        <f>'1 - Amortisation'!G323</f>
        <v>66297.041763341593</v>
      </c>
      <c r="J352" s="25">
        <f t="shared" si="42"/>
        <v>1503.0558105577074</v>
      </c>
      <c r="K352" s="25">
        <f t="shared" si="40"/>
        <v>66297.041763341593</v>
      </c>
      <c r="M352" s="26" t="e">
        <f t="shared" si="38"/>
        <v>#DIV/0!</v>
      </c>
      <c r="N352" s="1">
        <f t="shared" si="41"/>
        <v>0</v>
      </c>
      <c r="O352" s="44">
        <f t="shared" si="39"/>
        <v>0</v>
      </c>
    </row>
    <row r="353" spans="1:15" x14ac:dyDescent="0.25">
      <c r="A353" s="24">
        <f t="shared" ref="A353:A390" si="43">EDATE(A352,1)</f>
        <v>49400</v>
      </c>
      <c r="B353" s="62"/>
      <c r="C353" s="62"/>
      <c r="D353" s="62"/>
      <c r="E353" s="61"/>
      <c r="F353" s="61"/>
      <c r="G353" s="46">
        <f t="shared" ref="G353:G390" si="44">G352+C353</f>
        <v>0</v>
      </c>
      <c r="H353" s="22" t="e">
        <f t="shared" ref="H353:H390" si="45">F353/$F$31</f>
        <v>#DIV/0!</v>
      </c>
      <c r="I353" s="23">
        <f>'1 - Amortisation'!G324</f>
        <v>64782.713034204702</v>
      </c>
      <c r="J353" s="25">
        <f t="shared" si="42"/>
        <v>1514.3287291368906</v>
      </c>
      <c r="K353" s="25">
        <f t="shared" si="40"/>
        <v>64782.713034204702</v>
      </c>
      <c r="M353" s="26" t="e">
        <f t="shared" ref="M353:M390" si="46">B353/D353</f>
        <v>#DIV/0!</v>
      </c>
      <c r="N353" s="1">
        <f t="shared" si="41"/>
        <v>0</v>
      </c>
      <c r="O353" s="44">
        <f t="shared" si="39"/>
        <v>0</v>
      </c>
    </row>
    <row r="354" spans="1:15" x14ac:dyDescent="0.25">
      <c r="A354" s="24">
        <f t="shared" si="43"/>
        <v>49430</v>
      </c>
      <c r="B354" s="62"/>
      <c r="C354" s="62"/>
      <c r="D354" s="62"/>
      <c r="E354" s="61"/>
      <c r="F354" s="61"/>
      <c r="G354" s="46">
        <f t="shared" si="44"/>
        <v>0</v>
      </c>
      <c r="H354" s="22" t="e">
        <f t="shared" si="45"/>
        <v>#DIV/0!</v>
      </c>
      <c r="I354" s="23">
        <f>'1 - Amortisation'!G325</f>
        <v>63257.026839599283</v>
      </c>
      <c r="J354" s="25">
        <f t="shared" si="42"/>
        <v>1525.6861946054196</v>
      </c>
      <c r="K354" s="25">
        <f t="shared" si="40"/>
        <v>63257.026839599283</v>
      </c>
      <c r="M354" s="26" t="e">
        <f t="shared" si="46"/>
        <v>#DIV/0!</v>
      </c>
      <c r="N354" s="1">
        <f t="shared" si="41"/>
        <v>0</v>
      </c>
      <c r="O354" s="44">
        <f t="shared" si="39"/>
        <v>0</v>
      </c>
    </row>
    <row r="355" spans="1:15" x14ac:dyDescent="0.25">
      <c r="A355" s="24">
        <f t="shared" si="43"/>
        <v>49461</v>
      </c>
      <c r="B355" s="62"/>
      <c r="C355" s="62"/>
      <c r="D355" s="62"/>
      <c r="E355" s="61"/>
      <c r="F355" s="61"/>
      <c r="G355" s="46">
        <f t="shared" si="44"/>
        <v>0</v>
      </c>
      <c r="H355" s="22" t="e">
        <f t="shared" si="45"/>
        <v>#DIV/0!</v>
      </c>
      <c r="I355" s="23">
        <f>'1 - Amortisation'!G326</f>
        <v>61719.897998534325</v>
      </c>
      <c r="J355" s="25">
        <f t="shared" si="42"/>
        <v>1537.1288410649577</v>
      </c>
      <c r="K355" s="25">
        <f t="shared" si="40"/>
        <v>61719.897998534325</v>
      </c>
      <c r="M355" s="26" t="e">
        <f t="shared" si="46"/>
        <v>#DIV/0!</v>
      </c>
      <c r="N355" s="1">
        <f t="shared" si="41"/>
        <v>0</v>
      </c>
      <c r="O355" s="44">
        <f t="shared" ref="O355:O390" si="47">F355+G355</f>
        <v>0</v>
      </c>
    </row>
    <row r="356" spans="1:15" x14ac:dyDescent="0.25">
      <c r="A356" s="24">
        <f t="shared" si="43"/>
        <v>49491</v>
      </c>
      <c r="B356" s="62"/>
      <c r="C356" s="62"/>
      <c r="D356" s="62"/>
      <c r="E356" s="61"/>
      <c r="F356" s="61"/>
      <c r="G356" s="46">
        <f t="shared" si="44"/>
        <v>0</v>
      </c>
      <c r="H356" s="22" t="e">
        <f t="shared" si="45"/>
        <v>#DIV/0!</v>
      </c>
      <c r="I356" s="23">
        <f>'1 - Amortisation'!G327</f>
        <v>60171.24069116138</v>
      </c>
      <c r="J356" s="25">
        <f t="shared" si="42"/>
        <v>1548.6573073729451</v>
      </c>
      <c r="K356" s="25">
        <f t="shared" si="40"/>
        <v>60171.24069116138</v>
      </c>
      <c r="M356" s="26" t="e">
        <f t="shared" si="46"/>
        <v>#DIV/0!</v>
      </c>
      <c r="N356" s="1">
        <f t="shared" si="41"/>
        <v>0</v>
      </c>
      <c r="O356" s="44">
        <f t="shared" si="47"/>
        <v>0</v>
      </c>
    </row>
    <row r="357" spans="1:15" x14ac:dyDescent="0.25">
      <c r="A357" s="24">
        <f t="shared" si="43"/>
        <v>49522</v>
      </c>
      <c r="B357" s="62"/>
      <c r="C357" s="62"/>
      <c r="D357" s="62"/>
      <c r="E357" s="61"/>
      <c r="F357" s="61"/>
      <c r="G357" s="46">
        <f t="shared" si="44"/>
        <v>0</v>
      </c>
      <c r="H357" s="22" t="e">
        <f t="shared" si="45"/>
        <v>#DIV/0!</v>
      </c>
      <c r="I357" s="23">
        <f>'1 - Amortisation'!G328</f>
        <v>58610.968453983136</v>
      </c>
      <c r="J357" s="25">
        <f t="shared" si="42"/>
        <v>1560.2722371782438</v>
      </c>
      <c r="K357" s="25">
        <f t="shared" si="40"/>
        <v>58610.968453983136</v>
      </c>
      <c r="M357" s="26" t="e">
        <f t="shared" si="46"/>
        <v>#DIV/0!</v>
      </c>
      <c r="N357" s="1">
        <f t="shared" si="41"/>
        <v>0</v>
      </c>
      <c r="O357" s="44">
        <f t="shared" si="47"/>
        <v>0</v>
      </c>
    </row>
    <row r="358" spans="1:15" x14ac:dyDescent="0.25">
      <c r="A358" s="24">
        <f t="shared" si="43"/>
        <v>49553</v>
      </c>
      <c r="B358" s="62"/>
      <c r="C358" s="62"/>
      <c r="D358" s="62"/>
      <c r="E358" s="61"/>
      <c r="F358" s="61"/>
      <c r="G358" s="46">
        <f t="shared" si="44"/>
        <v>0</v>
      </c>
      <c r="H358" s="22" t="e">
        <f t="shared" si="45"/>
        <v>#DIV/0!</v>
      </c>
      <c r="I358" s="23">
        <f>'1 - Amortisation'!G329</f>
        <v>57038.994175026055</v>
      </c>
      <c r="J358" s="25">
        <f t="shared" si="42"/>
        <v>1571.974278957081</v>
      </c>
      <c r="K358" s="25">
        <f t="shared" si="40"/>
        <v>57038.994175026055</v>
      </c>
      <c r="M358" s="26" t="e">
        <f t="shared" si="46"/>
        <v>#DIV/0!</v>
      </c>
      <c r="N358" s="1">
        <f t="shared" si="41"/>
        <v>0</v>
      </c>
      <c r="O358" s="44">
        <f t="shared" si="47"/>
        <v>0</v>
      </c>
    </row>
    <row r="359" spans="1:15" x14ac:dyDescent="0.25">
      <c r="A359" s="24">
        <f t="shared" si="43"/>
        <v>49583</v>
      </c>
      <c r="B359" s="62"/>
      <c r="C359" s="62"/>
      <c r="D359" s="62"/>
      <c r="E359" s="61"/>
      <c r="F359" s="61"/>
      <c r="G359" s="46">
        <f t="shared" si="44"/>
        <v>0</v>
      </c>
      <c r="H359" s="22" t="e">
        <f t="shared" si="45"/>
        <v>#DIV/0!</v>
      </c>
      <c r="I359" s="23">
        <f>'1 - Amortisation'!G330</f>
        <v>55455.230088976794</v>
      </c>
      <c r="J359" s="25">
        <f t="shared" si="42"/>
        <v>1583.7640860492611</v>
      </c>
      <c r="K359" s="25">
        <f t="shared" si="40"/>
        <v>55455.230088976794</v>
      </c>
      <c r="M359" s="26" t="e">
        <f t="shared" si="46"/>
        <v>#DIV/0!</v>
      </c>
      <c r="N359" s="1">
        <f t="shared" si="41"/>
        <v>0</v>
      </c>
      <c r="O359" s="44">
        <f t="shared" si="47"/>
        <v>0</v>
      </c>
    </row>
    <row r="360" spans="1:15" x14ac:dyDescent="0.25">
      <c r="A360" s="24">
        <f t="shared" si="43"/>
        <v>49614</v>
      </c>
      <c r="B360" s="62"/>
      <c r="C360" s="62"/>
      <c r="D360" s="62"/>
      <c r="E360" s="61"/>
      <c r="F360" s="61"/>
      <c r="G360" s="46">
        <f t="shared" si="44"/>
        <v>0</v>
      </c>
      <c r="H360" s="22" t="e">
        <f t="shared" si="45"/>
        <v>#DIV/0!</v>
      </c>
      <c r="I360" s="23">
        <f>'1 - Amortisation'!G331</f>
        <v>53859.587772282168</v>
      </c>
      <c r="J360" s="25">
        <f t="shared" si="42"/>
        <v>1595.6423166946261</v>
      </c>
      <c r="K360" s="25">
        <f t="shared" si="40"/>
        <v>53859.587772282168</v>
      </c>
      <c r="M360" s="26" t="e">
        <f t="shared" si="46"/>
        <v>#DIV/0!</v>
      </c>
      <c r="N360" s="1">
        <f t="shared" si="41"/>
        <v>0</v>
      </c>
      <c r="O360" s="44">
        <f t="shared" si="47"/>
        <v>0</v>
      </c>
    </row>
    <row r="361" spans="1:15" x14ac:dyDescent="0.25">
      <c r="A361" s="24">
        <f t="shared" si="43"/>
        <v>49644</v>
      </c>
      <c r="B361" s="62"/>
      <c r="C361" s="62"/>
      <c r="D361" s="62"/>
      <c r="E361" s="61"/>
      <c r="F361" s="61"/>
      <c r="G361" s="46">
        <f t="shared" si="44"/>
        <v>0</v>
      </c>
      <c r="H361" s="22" t="e">
        <f t="shared" si="45"/>
        <v>#DIV/0!</v>
      </c>
      <c r="I361" s="23">
        <f>'1 - Amortisation'!G332</f>
        <v>52251.978138212333</v>
      </c>
      <c r="J361" s="25">
        <f>I360-I361</f>
        <v>1607.609634069835</v>
      </c>
      <c r="K361" s="25">
        <f t="shared" si="40"/>
        <v>52251.978138212333</v>
      </c>
      <c r="M361" s="26" t="e">
        <f t="shared" si="46"/>
        <v>#DIV/0!</v>
      </c>
      <c r="N361" s="1">
        <f t="shared" si="41"/>
        <v>0</v>
      </c>
      <c r="O361" s="44">
        <f t="shared" si="47"/>
        <v>0</v>
      </c>
    </row>
    <row r="362" spans="1:15" x14ac:dyDescent="0.25">
      <c r="A362" s="24">
        <f t="shared" si="43"/>
        <v>49675</v>
      </c>
      <c r="B362" s="62"/>
      <c r="C362" s="62"/>
      <c r="D362" s="62"/>
      <c r="E362" s="61"/>
      <c r="F362" s="61"/>
      <c r="G362" s="46">
        <f t="shared" si="44"/>
        <v>0</v>
      </c>
      <c r="H362" s="22" t="e">
        <f t="shared" si="45"/>
        <v>#DIV/0!</v>
      </c>
      <c r="I362" s="23">
        <f>'1 - Amortisation'!G333</f>
        <v>50632.31143188697</v>
      </c>
      <c r="J362" s="25">
        <f t="shared" ref="J362:J390" si="48">I361-I362</f>
        <v>1619.6667063253626</v>
      </c>
      <c r="K362" s="25">
        <f t="shared" si="40"/>
        <v>50632.31143188697</v>
      </c>
      <c r="M362" s="26" t="e">
        <f t="shared" si="46"/>
        <v>#DIV/0!</v>
      </c>
      <c r="N362" s="1">
        <f t="shared" si="41"/>
        <v>0</v>
      </c>
      <c r="O362" s="44">
        <f t="shared" si="47"/>
        <v>0</v>
      </c>
    </row>
    <row r="363" spans="1:15" x14ac:dyDescent="0.25">
      <c r="A363" s="24">
        <f t="shared" si="43"/>
        <v>49706</v>
      </c>
      <c r="B363" s="62"/>
      <c r="C363" s="62"/>
      <c r="D363" s="62"/>
      <c r="E363" s="61"/>
      <c r="F363" s="61"/>
      <c r="G363" s="46">
        <f t="shared" si="44"/>
        <v>0</v>
      </c>
      <c r="H363" s="22" t="e">
        <f t="shared" si="45"/>
        <v>#DIV/0!</v>
      </c>
      <c r="I363" s="23">
        <f>'1 - Amortisation'!G334</f>
        <v>49000.497225264167</v>
      </c>
      <c r="J363" s="25">
        <f t="shared" si="48"/>
        <v>1631.8142066228029</v>
      </c>
      <c r="K363" s="25">
        <f t="shared" si="40"/>
        <v>49000.497225264167</v>
      </c>
      <c r="M363" s="26" t="e">
        <f t="shared" si="46"/>
        <v>#DIV/0!</v>
      </c>
      <c r="N363" s="1">
        <f t="shared" si="41"/>
        <v>0</v>
      </c>
      <c r="O363" s="44">
        <f t="shared" si="47"/>
        <v>0</v>
      </c>
    </row>
    <row r="364" spans="1:15" x14ac:dyDescent="0.25">
      <c r="A364" s="24">
        <f t="shared" si="43"/>
        <v>49735</v>
      </c>
      <c r="B364" s="62"/>
      <c r="C364" s="62"/>
      <c r="D364" s="62"/>
      <c r="E364" s="61"/>
      <c r="F364" s="61"/>
      <c r="G364" s="46">
        <f t="shared" si="44"/>
        <v>0</v>
      </c>
      <c r="H364" s="22" t="e">
        <f t="shared" si="45"/>
        <v>#DIV/0!</v>
      </c>
      <c r="I364" s="23">
        <f>'1 - Amortisation'!G335</f>
        <v>47356.444412091696</v>
      </c>
      <c r="J364" s="25">
        <f t="shared" si="48"/>
        <v>1644.0528131724714</v>
      </c>
      <c r="K364" s="25">
        <f t="shared" si="40"/>
        <v>47356.444412091696</v>
      </c>
      <c r="M364" s="26" t="e">
        <f t="shared" si="46"/>
        <v>#DIV/0!</v>
      </c>
      <c r="N364" s="1">
        <f t="shared" si="41"/>
        <v>0</v>
      </c>
      <c r="O364" s="44">
        <f t="shared" si="47"/>
        <v>0</v>
      </c>
    </row>
    <row r="365" spans="1:15" x14ac:dyDescent="0.25">
      <c r="A365" s="24">
        <f t="shared" si="43"/>
        <v>49766</v>
      </c>
      <c r="B365" s="62"/>
      <c r="C365" s="62"/>
      <c r="D365" s="62"/>
      <c r="E365" s="61"/>
      <c r="F365" s="61"/>
      <c r="G365" s="46">
        <f t="shared" si="44"/>
        <v>0</v>
      </c>
      <c r="H365" s="22" t="e">
        <f t="shared" si="45"/>
        <v>#DIV/0!</v>
      </c>
      <c r="I365" s="23">
        <f>'1 - Amortisation'!G336</f>
        <v>45700.061202820427</v>
      </c>
      <c r="J365" s="25">
        <f t="shared" si="48"/>
        <v>1656.3832092712692</v>
      </c>
      <c r="K365" s="25">
        <f t="shared" si="40"/>
        <v>45700.061202820427</v>
      </c>
      <c r="M365" s="26" t="e">
        <f t="shared" si="46"/>
        <v>#DIV/0!</v>
      </c>
      <c r="N365" s="1">
        <f t="shared" si="41"/>
        <v>0</v>
      </c>
      <c r="O365" s="44">
        <f t="shared" si="47"/>
        <v>0</v>
      </c>
    </row>
    <row r="366" spans="1:15" x14ac:dyDescent="0.25">
      <c r="A366" s="24">
        <f t="shared" si="43"/>
        <v>49796</v>
      </c>
      <c r="B366" s="62"/>
      <c r="C366" s="62"/>
      <c r="D366" s="62"/>
      <c r="E366" s="61"/>
      <c r="F366" s="61"/>
      <c r="G366" s="46">
        <f t="shared" si="44"/>
        <v>0</v>
      </c>
      <c r="H366" s="22" t="e">
        <f t="shared" si="45"/>
        <v>#DIV/0!</v>
      </c>
      <c r="I366" s="23">
        <f>'1 - Amortisation'!G337</f>
        <v>44031.255119479625</v>
      </c>
      <c r="J366" s="25">
        <f t="shared" si="48"/>
        <v>1668.8060833408017</v>
      </c>
      <c r="K366" s="25">
        <f t="shared" si="40"/>
        <v>44031.255119479625</v>
      </c>
      <c r="M366" s="26" t="e">
        <f t="shared" si="46"/>
        <v>#DIV/0!</v>
      </c>
      <c r="N366" s="1">
        <f t="shared" si="41"/>
        <v>0</v>
      </c>
      <c r="O366" s="44">
        <f t="shared" si="47"/>
        <v>0</v>
      </c>
    </row>
    <row r="367" spans="1:15" x14ac:dyDescent="0.25">
      <c r="A367" s="24">
        <f t="shared" si="43"/>
        <v>49827</v>
      </c>
      <c r="B367" s="62"/>
      <c r="C367" s="62"/>
      <c r="D367" s="62"/>
      <c r="E367" s="61"/>
      <c r="F367" s="61"/>
      <c r="G367" s="46">
        <f t="shared" si="44"/>
        <v>0</v>
      </c>
      <c r="H367" s="22" t="e">
        <f t="shared" si="45"/>
        <v>#DIV/0!</v>
      </c>
      <c r="I367" s="23">
        <f>'1 - Amortisation'!G338</f>
        <v>42349.932990513771</v>
      </c>
      <c r="J367" s="25">
        <f t="shared" si="48"/>
        <v>1681.3221289658541</v>
      </c>
      <c r="K367" s="25">
        <f t="shared" si="40"/>
        <v>42349.932990513771</v>
      </c>
      <c r="M367" s="26" t="e">
        <f t="shared" si="46"/>
        <v>#DIV/0!</v>
      </c>
      <c r="N367" s="1">
        <f t="shared" si="41"/>
        <v>0</v>
      </c>
      <c r="O367" s="44">
        <f t="shared" si="47"/>
        <v>0</v>
      </c>
    </row>
    <row r="368" spans="1:15" x14ac:dyDescent="0.25">
      <c r="A368" s="24">
        <f t="shared" si="43"/>
        <v>49857</v>
      </c>
      <c r="B368" s="62"/>
      <c r="C368" s="62"/>
      <c r="D368" s="62"/>
      <c r="E368" s="61"/>
      <c r="F368" s="61"/>
      <c r="G368" s="46">
        <f t="shared" si="44"/>
        <v>0</v>
      </c>
      <c r="H368" s="22" t="e">
        <f t="shared" si="45"/>
        <v>#DIV/0!</v>
      </c>
      <c r="I368" s="23">
        <f>'1 - Amortisation'!G339</f>
        <v>40656.000945580672</v>
      </c>
      <c r="J368" s="25">
        <f t="shared" si="48"/>
        <v>1693.932044933099</v>
      </c>
      <c r="K368" s="25">
        <f t="shared" si="40"/>
        <v>40656.000945580672</v>
      </c>
      <c r="M368" s="26" t="e">
        <f t="shared" si="46"/>
        <v>#DIV/0!</v>
      </c>
      <c r="N368" s="1">
        <f t="shared" si="41"/>
        <v>0</v>
      </c>
      <c r="O368" s="44">
        <f t="shared" si="47"/>
        <v>0</v>
      </c>
    </row>
    <row r="369" spans="1:15" x14ac:dyDescent="0.25">
      <c r="A369" s="24">
        <f t="shared" si="43"/>
        <v>49888</v>
      </c>
      <c r="B369" s="62"/>
      <c r="C369" s="62"/>
      <c r="D369" s="62"/>
      <c r="E369" s="61"/>
      <c r="F369" s="61"/>
      <c r="G369" s="46">
        <f t="shared" si="44"/>
        <v>0</v>
      </c>
      <c r="H369" s="22" t="e">
        <f t="shared" si="45"/>
        <v>#DIV/0!</v>
      </c>
      <c r="I369" s="23">
        <f>'1 - Amortisation'!G340</f>
        <v>38949.364410310569</v>
      </c>
      <c r="J369" s="25">
        <f t="shared" si="48"/>
        <v>1706.6365352701032</v>
      </c>
      <c r="K369" s="25">
        <f t="shared" si="40"/>
        <v>38949.364410310569</v>
      </c>
      <c r="M369" s="26" t="e">
        <f t="shared" si="46"/>
        <v>#DIV/0!</v>
      </c>
      <c r="N369" s="1">
        <f t="shared" si="41"/>
        <v>0</v>
      </c>
      <c r="O369" s="44">
        <f t="shared" si="47"/>
        <v>0</v>
      </c>
    </row>
    <row r="370" spans="1:15" x14ac:dyDescent="0.25">
      <c r="A370" s="24">
        <f t="shared" si="43"/>
        <v>49919</v>
      </c>
      <c r="B370" s="62"/>
      <c r="C370" s="62"/>
      <c r="D370" s="62"/>
      <c r="E370" s="61"/>
      <c r="F370" s="61"/>
      <c r="G370" s="46">
        <f t="shared" si="44"/>
        <v>0</v>
      </c>
      <c r="H370" s="22" t="e">
        <f t="shared" si="45"/>
        <v>#DIV/0!</v>
      </c>
      <c r="I370" s="23">
        <f>'1 - Amortisation'!G341</f>
        <v>37229.928101025944</v>
      </c>
      <c r="J370" s="25">
        <f t="shared" si="48"/>
        <v>1719.4363092846252</v>
      </c>
      <c r="K370" s="25">
        <f t="shared" si="40"/>
        <v>37229.928101025944</v>
      </c>
      <c r="M370" s="26" t="e">
        <f t="shared" si="46"/>
        <v>#DIV/0!</v>
      </c>
      <c r="N370" s="1">
        <f t="shared" si="41"/>
        <v>0</v>
      </c>
      <c r="O370" s="44">
        <f t="shared" si="47"/>
        <v>0</v>
      </c>
    </row>
    <row r="371" spans="1:15" x14ac:dyDescent="0.25">
      <c r="A371" s="24">
        <f t="shared" si="43"/>
        <v>49949</v>
      </c>
      <c r="B371" s="62"/>
      <c r="C371" s="62"/>
      <c r="D371" s="62"/>
      <c r="E371" s="61"/>
      <c r="F371" s="61"/>
      <c r="G371" s="46">
        <f t="shared" si="44"/>
        <v>0</v>
      </c>
      <c r="H371" s="22" t="e">
        <f t="shared" si="45"/>
        <v>#DIV/0!</v>
      </c>
      <c r="I371" s="23">
        <f>'1 - Amortisation'!G342</f>
        <v>35497.596019421682</v>
      </c>
      <c r="J371" s="25">
        <f t="shared" si="48"/>
        <v>1732.3320816042615</v>
      </c>
      <c r="K371" s="25">
        <f t="shared" si="40"/>
        <v>35497.596019421682</v>
      </c>
      <c r="M371" s="26" t="e">
        <f t="shared" si="46"/>
        <v>#DIV/0!</v>
      </c>
      <c r="N371" s="1">
        <f t="shared" si="41"/>
        <v>0</v>
      </c>
      <c r="O371" s="44">
        <f t="shared" si="47"/>
        <v>0</v>
      </c>
    </row>
    <row r="372" spans="1:15" x14ac:dyDescent="0.25">
      <c r="A372" s="24">
        <f t="shared" si="43"/>
        <v>49980</v>
      </c>
      <c r="B372" s="62"/>
      <c r="C372" s="62"/>
      <c r="D372" s="62"/>
      <c r="E372" s="61"/>
      <c r="F372" s="61"/>
      <c r="G372" s="46">
        <f t="shared" si="44"/>
        <v>0</v>
      </c>
      <c r="H372" s="22" t="e">
        <f t="shared" si="45"/>
        <v>#DIV/0!</v>
      </c>
      <c r="I372" s="23">
        <f>'1 - Amortisation'!G343</f>
        <v>33752.271447205392</v>
      </c>
      <c r="J372" s="25">
        <f t="shared" si="48"/>
        <v>1745.3245722162901</v>
      </c>
      <c r="K372" s="25">
        <f t="shared" si="40"/>
        <v>33752.271447205392</v>
      </c>
      <c r="M372" s="26" t="e">
        <f t="shared" si="46"/>
        <v>#DIV/0!</v>
      </c>
      <c r="N372" s="1">
        <f t="shared" si="41"/>
        <v>0</v>
      </c>
      <c r="O372" s="44">
        <f t="shared" si="47"/>
        <v>0</v>
      </c>
    </row>
    <row r="373" spans="1:15" x14ac:dyDescent="0.25">
      <c r="A373" s="24">
        <f t="shared" si="43"/>
        <v>50010</v>
      </c>
      <c r="B373" s="62"/>
      <c r="C373" s="62"/>
      <c r="D373" s="62"/>
      <c r="E373" s="61"/>
      <c r="F373" s="61"/>
      <c r="G373" s="46">
        <f t="shared" si="44"/>
        <v>0</v>
      </c>
      <c r="H373" s="22" t="e">
        <f t="shared" si="45"/>
        <v>#DIV/0!</v>
      </c>
      <c r="I373" s="23">
        <f>'1 - Amortisation'!G344</f>
        <v>31993.856940697478</v>
      </c>
      <c r="J373" s="25">
        <f t="shared" si="48"/>
        <v>1758.4145065079138</v>
      </c>
      <c r="K373" s="25">
        <f t="shared" ref="K373:K390" si="49">I373-F373</f>
        <v>31993.856940697478</v>
      </c>
      <c r="M373" s="26" t="e">
        <f t="shared" si="46"/>
        <v>#DIV/0!</v>
      </c>
      <c r="N373" s="1">
        <f t="shared" si="41"/>
        <v>0</v>
      </c>
      <c r="O373" s="44">
        <f t="shared" si="47"/>
        <v>0</v>
      </c>
    </row>
    <row r="374" spans="1:15" x14ac:dyDescent="0.25">
      <c r="A374" s="24">
        <f t="shared" si="43"/>
        <v>50041</v>
      </c>
      <c r="B374" s="62"/>
      <c r="C374" s="62"/>
      <c r="D374" s="62"/>
      <c r="E374" s="61"/>
      <c r="F374" s="61"/>
      <c r="G374" s="46">
        <f t="shared" si="44"/>
        <v>0</v>
      </c>
      <c r="H374" s="22" t="e">
        <f t="shared" si="45"/>
        <v>#DIV/0!</v>
      </c>
      <c r="I374" s="23">
        <f>'1 - Amortisation'!G345</f>
        <v>30222.254325390753</v>
      </c>
      <c r="J374" s="25">
        <f t="shared" si="48"/>
        <v>1771.6026153067251</v>
      </c>
      <c r="K374" s="25">
        <f t="shared" si="49"/>
        <v>30222.254325390753</v>
      </c>
      <c r="M374" s="26" t="e">
        <f t="shared" si="46"/>
        <v>#DIV/0!</v>
      </c>
      <c r="N374" s="1">
        <f t="shared" si="41"/>
        <v>0</v>
      </c>
      <c r="O374" s="44">
        <f t="shared" si="47"/>
        <v>0</v>
      </c>
    </row>
    <row r="375" spans="1:15" x14ac:dyDescent="0.25">
      <c r="A375" s="24">
        <f t="shared" si="43"/>
        <v>50072</v>
      </c>
      <c r="B375" s="62"/>
      <c r="C375" s="62"/>
      <c r="D375" s="62"/>
      <c r="E375" s="61"/>
      <c r="F375" s="61"/>
      <c r="G375" s="46">
        <f t="shared" si="44"/>
        <v>0</v>
      </c>
      <c r="H375" s="22" t="e">
        <f t="shared" si="45"/>
        <v>#DIV/0!</v>
      </c>
      <c r="I375" s="23">
        <f>'1 - Amortisation'!G346</f>
        <v>28437.364690469229</v>
      </c>
      <c r="J375" s="25">
        <f t="shared" si="48"/>
        <v>1784.8896349215247</v>
      </c>
      <c r="K375" s="25">
        <f t="shared" si="49"/>
        <v>28437.364690469229</v>
      </c>
      <c r="M375" s="26" t="e">
        <f t="shared" si="46"/>
        <v>#DIV/0!</v>
      </c>
      <c r="N375" s="1">
        <f t="shared" si="41"/>
        <v>0</v>
      </c>
      <c r="O375" s="44">
        <f t="shared" si="47"/>
        <v>0</v>
      </c>
    </row>
    <row r="376" spans="1:15" x14ac:dyDescent="0.25">
      <c r="A376" s="24">
        <f t="shared" si="43"/>
        <v>50100</v>
      </c>
      <c r="B376" s="62"/>
      <c r="C376" s="62"/>
      <c r="D376" s="62"/>
      <c r="E376" s="61"/>
      <c r="F376" s="61"/>
      <c r="G376" s="46">
        <f t="shared" si="44"/>
        <v>0</v>
      </c>
      <c r="H376" s="22" t="e">
        <f t="shared" si="45"/>
        <v>#DIV/0!</v>
      </c>
      <c r="I376" s="23">
        <f>'1 - Amortisation'!G347</f>
        <v>26639.088383285794</v>
      </c>
      <c r="J376" s="25">
        <f t="shared" si="48"/>
        <v>1798.2763071834343</v>
      </c>
      <c r="K376" s="25">
        <f t="shared" si="49"/>
        <v>26639.088383285794</v>
      </c>
      <c r="M376" s="26" t="e">
        <f t="shared" si="46"/>
        <v>#DIV/0!</v>
      </c>
      <c r="N376" s="1">
        <f t="shared" si="41"/>
        <v>0</v>
      </c>
      <c r="O376" s="44">
        <f t="shared" si="47"/>
        <v>0</v>
      </c>
    </row>
    <row r="377" spans="1:15" x14ac:dyDescent="0.25">
      <c r="A377" s="24">
        <f t="shared" si="43"/>
        <v>50131</v>
      </c>
      <c r="B377" s="62"/>
      <c r="C377" s="62"/>
      <c r="D377" s="62"/>
      <c r="E377" s="61"/>
      <c r="F377" s="61"/>
      <c r="G377" s="46">
        <f t="shared" si="44"/>
        <v>0</v>
      </c>
      <c r="H377" s="22" t="e">
        <f t="shared" si="45"/>
        <v>#DIV/0!</v>
      </c>
      <c r="I377" s="23">
        <f>'1 - Amortisation'!G348</f>
        <v>24827.325003798484</v>
      </c>
      <c r="J377" s="25">
        <f t="shared" si="48"/>
        <v>1811.7633794873109</v>
      </c>
      <c r="K377" s="25">
        <f t="shared" si="49"/>
        <v>24827.325003798484</v>
      </c>
      <c r="M377" s="26" t="e">
        <f t="shared" si="46"/>
        <v>#DIV/0!</v>
      </c>
      <c r="N377" s="1">
        <f t="shared" si="41"/>
        <v>0</v>
      </c>
      <c r="O377" s="44">
        <f t="shared" si="47"/>
        <v>0</v>
      </c>
    </row>
    <row r="378" spans="1:15" x14ac:dyDescent="0.25">
      <c r="A378" s="24">
        <f t="shared" si="43"/>
        <v>50161</v>
      </c>
      <c r="B378" s="62"/>
      <c r="C378" s="62"/>
      <c r="D378" s="62"/>
      <c r="E378" s="61"/>
      <c r="F378" s="61"/>
      <c r="G378" s="46">
        <f t="shared" si="44"/>
        <v>0</v>
      </c>
      <c r="H378" s="22" t="e">
        <f t="shared" si="45"/>
        <v>#DIV/0!</v>
      </c>
      <c r="I378" s="23">
        <f>'1 - Amortisation'!G349</f>
        <v>23001.973398965016</v>
      </c>
      <c r="J378" s="25">
        <f t="shared" si="48"/>
        <v>1825.3516048334677</v>
      </c>
      <c r="K378" s="25">
        <f t="shared" si="49"/>
        <v>23001.973398965016</v>
      </c>
      <c r="M378" s="26" t="e">
        <f t="shared" si="46"/>
        <v>#DIV/0!</v>
      </c>
      <c r="N378" s="1">
        <f t="shared" si="41"/>
        <v>0</v>
      </c>
      <c r="O378" s="44">
        <f t="shared" si="47"/>
        <v>0</v>
      </c>
    </row>
    <row r="379" spans="1:15" x14ac:dyDescent="0.25">
      <c r="A379" s="24">
        <f t="shared" si="43"/>
        <v>50192</v>
      </c>
      <c r="B379" s="62"/>
      <c r="C379" s="62"/>
      <c r="D379" s="62"/>
      <c r="E379" s="61"/>
      <c r="F379" s="61"/>
      <c r="G379" s="46">
        <f t="shared" si="44"/>
        <v>0</v>
      </c>
      <c r="H379" s="22" t="e">
        <f t="shared" si="45"/>
        <v>#DIV/0!</v>
      </c>
      <c r="I379" s="23">
        <f>'1 - Amortisation'!G350</f>
        <v>21162.931657095298</v>
      </c>
      <c r="J379" s="25">
        <f t="shared" si="48"/>
        <v>1839.041741869718</v>
      </c>
      <c r="K379" s="25">
        <f t="shared" si="49"/>
        <v>21162.931657095298</v>
      </c>
      <c r="M379" s="26" t="e">
        <f t="shared" si="46"/>
        <v>#DIV/0!</v>
      </c>
      <c r="N379" s="1">
        <f t="shared" si="41"/>
        <v>0</v>
      </c>
      <c r="O379" s="44">
        <f t="shared" si="47"/>
        <v>0</v>
      </c>
    </row>
    <row r="380" spans="1:15" x14ac:dyDescent="0.25">
      <c r="A380" s="24">
        <f t="shared" si="43"/>
        <v>50222</v>
      </c>
      <c r="B380" s="62"/>
      <c r="C380" s="62"/>
      <c r="D380" s="62"/>
      <c r="E380" s="61"/>
      <c r="F380" s="61"/>
      <c r="G380" s="46">
        <f t="shared" si="44"/>
        <v>0</v>
      </c>
      <c r="H380" s="22" t="e">
        <f t="shared" si="45"/>
        <v>#DIV/0!</v>
      </c>
      <c r="I380" s="23">
        <f>'1 - Amortisation'!G351</f>
        <v>19310.097102161559</v>
      </c>
      <c r="J380" s="25">
        <f t="shared" si="48"/>
        <v>1852.8345549337391</v>
      </c>
      <c r="K380" s="25">
        <f t="shared" si="49"/>
        <v>19310.097102161559</v>
      </c>
      <c r="M380" s="26" t="e">
        <f t="shared" si="46"/>
        <v>#DIV/0!</v>
      </c>
      <c r="N380" s="1">
        <f t="shared" si="41"/>
        <v>0</v>
      </c>
      <c r="O380" s="44">
        <f t="shared" si="47"/>
        <v>0</v>
      </c>
    </row>
    <row r="381" spans="1:15" x14ac:dyDescent="0.25">
      <c r="A381" s="24">
        <f t="shared" si="43"/>
        <v>50253</v>
      </c>
      <c r="B381" s="62"/>
      <c r="C381" s="62"/>
      <c r="D381" s="62"/>
      <c r="E381" s="61"/>
      <c r="F381" s="61"/>
      <c r="G381" s="46">
        <f t="shared" si="44"/>
        <v>0</v>
      </c>
      <c r="H381" s="22" t="e">
        <f t="shared" si="45"/>
        <v>#DIV/0!</v>
      </c>
      <c r="I381" s="23">
        <f>'1 - Amortisation'!G352</f>
        <v>17443.366288065816</v>
      </c>
      <c r="J381" s="25">
        <f t="shared" si="48"/>
        <v>1866.730814095743</v>
      </c>
      <c r="K381" s="25">
        <f t="shared" si="49"/>
        <v>17443.366288065816</v>
      </c>
      <c r="M381" s="26" t="e">
        <f t="shared" si="46"/>
        <v>#DIV/0!</v>
      </c>
      <c r="N381" s="1">
        <f t="shared" si="41"/>
        <v>0</v>
      </c>
      <c r="O381" s="44">
        <f t="shared" si="47"/>
        <v>0</v>
      </c>
    </row>
    <row r="382" spans="1:15" x14ac:dyDescent="0.25">
      <c r="A382" s="24">
        <f t="shared" si="43"/>
        <v>50284</v>
      </c>
      <c r="B382" s="62"/>
      <c r="C382" s="62"/>
      <c r="D382" s="62"/>
      <c r="E382" s="61"/>
      <c r="F382" s="61"/>
      <c r="G382" s="46">
        <f t="shared" si="44"/>
        <v>0</v>
      </c>
      <c r="H382" s="22" t="e">
        <f t="shared" si="45"/>
        <v>#DIV/0!</v>
      </c>
      <c r="I382" s="23">
        <f>'1 - Amortisation'!G353</f>
        <v>15562.634992864354</v>
      </c>
      <c r="J382" s="25">
        <f t="shared" si="48"/>
        <v>1880.7312952014618</v>
      </c>
      <c r="K382" s="25">
        <f t="shared" si="49"/>
        <v>15562.634992864354</v>
      </c>
      <c r="M382" s="26" t="e">
        <f t="shared" si="46"/>
        <v>#DIV/0!</v>
      </c>
      <c r="N382" s="1">
        <f t="shared" si="41"/>
        <v>0</v>
      </c>
      <c r="O382" s="44">
        <f t="shared" si="47"/>
        <v>0</v>
      </c>
    </row>
    <row r="383" spans="1:15" x14ac:dyDescent="0.25">
      <c r="A383" s="24">
        <f t="shared" si="43"/>
        <v>50314</v>
      </c>
      <c r="B383" s="62"/>
      <c r="C383" s="62"/>
      <c r="D383" s="62"/>
      <c r="E383" s="61"/>
      <c r="F383" s="61"/>
      <c r="G383" s="46">
        <f t="shared" si="44"/>
        <v>0</v>
      </c>
      <c r="H383" s="22" t="e">
        <f t="shared" si="45"/>
        <v>#DIV/0!</v>
      </c>
      <c r="I383" s="23">
        <f>'1 - Amortisation'!G354</f>
        <v>13667.798212948881</v>
      </c>
      <c r="J383" s="25">
        <f t="shared" si="48"/>
        <v>1894.836779915473</v>
      </c>
      <c r="K383" s="25">
        <f t="shared" si="49"/>
        <v>13667.798212948881</v>
      </c>
      <c r="M383" s="26" t="e">
        <f t="shared" si="46"/>
        <v>#DIV/0!</v>
      </c>
      <c r="N383" s="1">
        <f t="shared" si="41"/>
        <v>0</v>
      </c>
      <c r="O383" s="44">
        <f t="shared" si="47"/>
        <v>0</v>
      </c>
    </row>
    <row r="384" spans="1:15" x14ac:dyDescent="0.25">
      <c r="A384" s="24">
        <f t="shared" si="43"/>
        <v>50345</v>
      </c>
      <c r="B384" s="62"/>
      <c r="C384" s="62"/>
      <c r="D384" s="62"/>
      <c r="E384" s="61"/>
      <c r="F384" s="61"/>
      <c r="G384" s="46">
        <f t="shared" si="44"/>
        <v>0</v>
      </c>
      <c r="H384" s="22" t="e">
        <f t="shared" si="45"/>
        <v>#DIV/0!</v>
      </c>
      <c r="I384" s="23">
        <f>'1 - Amortisation'!G355</f>
        <v>11758.750157184042</v>
      </c>
      <c r="J384" s="25">
        <f t="shared" si="48"/>
        <v>1909.0480557648389</v>
      </c>
      <c r="K384" s="25">
        <f t="shared" si="49"/>
        <v>11758.750157184042</v>
      </c>
      <c r="M384" s="26" t="e">
        <f t="shared" si="46"/>
        <v>#DIV/0!</v>
      </c>
      <c r="N384" s="1">
        <f t="shared" si="41"/>
        <v>0</v>
      </c>
      <c r="O384" s="44">
        <f t="shared" si="47"/>
        <v>0</v>
      </c>
    </row>
    <row r="385" spans="1:15" x14ac:dyDescent="0.25">
      <c r="A385" s="24">
        <f t="shared" si="43"/>
        <v>50375</v>
      </c>
      <c r="B385" s="62"/>
      <c r="C385" s="62"/>
      <c r="D385" s="62"/>
      <c r="E385" s="61"/>
      <c r="F385" s="61"/>
      <c r="G385" s="46">
        <f t="shared" si="44"/>
        <v>0</v>
      </c>
      <c r="H385" s="22" t="e">
        <f t="shared" si="45"/>
        <v>#DIV/0!</v>
      </c>
      <c r="I385" s="23">
        <f>'1 - Amortisation'!G356</f>
        <v>9835.3842410009674</v>
      </c>
      <c r="J385" s="25">
        <f t="shared" si="48"/>
        <v>1923.3659161830747</v>
      </c>
      <c r="K385" s="25">
        <f t="shared" si="49"/>
        <v>9835.3842410009674</v>
      </c>
      <c r="M385" s="26" t="e">
        <f t="shared" si="46"/>
        <v>#DIV/0!</v>
      </c>
      <c r="N385" s="1">
        <f t="shared" si="41"/>
        <v>0</v>
      </c>
      <c r="O385" s="44">
        <f t="shared" si="47"/>
        <v>0</v>
      </c>
    </row>
    <row r="386" spans="1:15" x14ac:dyDescent="0.25">
      <c r="A386" s="24">
        <f t="shared" si="43"/>
        <v>50406</v>
      </c>
      <c r="B386" s="62"/>
      <c r="C386" s="62"/>
      <c r="D386" s="62"/>
      <c r="E386" s="61"/>
      <c r="F386" s="61"/>
      <c r="G386" s="46">
        <f t="shared" si="44"/>
        <v>0</v>
      </c>
      <c r="H386" s="22" t="e">
        <f t="shared" si="45"/>
        <v>#DIV/0!</v>
      </c>
      <c r="I386" s="23">
        <f>'1 - Amortisation'!G357</f>
        <v>7897.5930804465197</v>
      </c>
      <c r="J386" s="25">
        <f t="shared" si="48"/>
        <v>1937.7911605544477</v>
      </c>
      <c r="K386" s="25">
        <f t="shared" si="49"/>
        <v>7897.5930804465197</v>
      </c>
      <c r="M386" s="26" t="e">
        <f t="shared" si="46"/>
        <v>#DIV/0!</v>
      </c>
      <c r="N386" s="1">
        <f t="shared" si="41"/>
        <v>0</v>
      </c>
      <c r="O386" s="44">
        <f t="shared" si="47"/>
        <v>0</v>
      </c>
    </row>
    <row r="387" spans="1:15" x14ac:dyDescent="0.25">
      <c r="A387" s="24">
        <f t="shared" si="43"/>
        <v>50437</v>
      </c>
      <c r="B387" s="62"/>
      <c r="C387" s="62"/>
      <c r="D387" s="62"/>
      <c r="E387" s="61"/>
      <c r="F387" s="61"/>
      <c r="G387" s="46">
        <f t="shared" si="44"/>
        <v>0</v>
      </c>
      <c r="H387" s="22" t="e">
        <f t="shared" si="45"/>
        <v>#DIV/0!</v>
      </c>
      <c r="I387" s="23">
        <f>'1 - Amortisation'!G358</f>
        <v>5945.2684861879134</v>
      </c>
      <c r="J387" s="25">
        <f t="shared" si="48"/>
        <v>1952.3245942586063</v>
      </c>
      <c r="K387" s="25">
        <f t="shared" si="49"/>
        <v>5945.2684861879134</v>
      </c>
      <c r="M387" s="26" t="e">
        <f t="shared" si="46"/>
        <v>#DIV/0!</v>
      </c>
      <c r="N387" s="1">
        <f t="shared" si="41"/>
        <v>0</v>
      </c>
      <c r="O387" s="44">
        <f t="shared" si="47"/>
        <v>0</v>
      </c>
    </row>
    <row r="388" spans="1:15" x14ac:dyDescent="0.25">
      <c r="A388" s="24">
        <f t="shared" si="43"/>
        <v>50465</v>
      </c>
      <c r="B388" s="62"/>
      <c r="C388" s="62"/>
      <c r="D388" s="62"/>
      <c r="E388" s="61"/>
      <c r="F388" s="61"/>
      <c r="G388" s="46">
        <f t="shared" si="44"/>
        <v>0</v>
      </c>
      <c r="H388" s="22" t="e">
        <f t="shared" si="45"/>
        <v>#DIV/0!</v>
      </c>
      <c r="I388" s="23">
        <f>'1 - Amortisation'!G359</f>
        <v>3978.3014574723675</v>
      </c>
      <c r="J388" s="25">
        <f t="shared" si="48"/>
        <v>1966.9670287155459</v>
      </c>
      <c r="K388" s="25">
        <f t="shared" si="49"/>
        <v>3978.3014574723675</v>
      </c>
      <c r="M388" s="26" t="e">
        <f t="shared" si="46"/>
        <v>#DIV/0!</v>
      </c>
      <c r="N388" s="1">
        <f t="shared" si="41"/>
        <v>0</v>
      </c>
      <c r="O388" s="44">
        <f t="shared" si="47"/>
        <v>0</v>
      </c>
    </row>
    <row r="389" spans="1:15" x14ac:dyDescent="0.25">
      <c r="A389" s="24">
        <f t="shared" si="43"/>
        <v>50496</v>
      </c>
      <c r="B389" s="62"/>
      <c r="C389" s="62"/>
      <c r="D389" s="62"/>
      <c r="E389" s="61"/>
      <c r="F389" s="61"/>
      <c r="G389" s="46">
        <f t="shared" si="44"/>
        <v>0</v>
      </c>
      <c r="H389" s="22" t="e">
        <f t="shared" si="45"/>
        <v>#DIV/0!</v>
      </c>
      <c r="I389" s="23">
        <f>'1 - Amortisation'!G360</f>
        <v>1996.5821760414551</v>
      </c>
      <c r="J389" s="25">
        <f t="shared" si="48"/>
        <v>1981.7192814309124</v>
      </c>
      <c r="K389" s="25">
        <f t="shared" si="49"/>
        <v>1996.5821760414551</v>
      </c>
      <c r="M389" s="26" t="e">
        <f t="shared" si="46"/>
        <v>#DIV/0!</v>
      </c>
      <c r="N389" s="1">
        <f t="shared" si="41"/>
        <v>0</v>
      </c>
      <c r="O389" s="44">
        <f t="shared" si="47"/>
        <v>0</v>
      </c>
    </row>
    <row r="390" spans="1:15" x14ac:dyDescent="0.25">
      <c r="A390" s="24">
        <f t="shared" si="43"/>
        <v>50526</v>
      </c>
      <c r="B390" s="62"/>
      <c r="C390" s="62"/>
      <c r="D390" s="62"/>
      <c r="E390" s="61"/>
      <c r="F390" s="61"/>
      <c r="G390" s="46">
        <f t="shared" si="44"/>
        <v>0</v>
      </c>
      <c r="H390" s="22" t="e">
        <f t="shared" si="45"/>
        <v>#DIV/0!</v>
      </c>
      <c r="I390" s="23">
        <f>'1 - Amortisation'!G361</f>
        <v>-1.8917489796876907E-10</v>
      </c>
      <c r="J390" s="25">
        <f t="shared" si="48"/>
        <v>1996.5821760416443</v>
      </c>
      <c r="K390" s="25">
        <f t="shared" si="49"/>
        <v>-1.8917489796876907E-10</v>
      </c>
      <c r="M390" s="26" t="e">
        <f t="shared" si="46"/>
        <v>#DIV/0!</v>
      </c>
      <c r="N390" s="1">
        <f t="shared" si="41"/>
        <v>0</v>
      </c>
      <c r="O390" s="44">
        <f t="shared" si="47"/>
        <v>0</v>
      </c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Q390"/>
  <sheetViews>
    <sheetView tabSelected="1" zoomScale="70" zoomScaleNormal="70" workbookViewId="0">
      <pane ySplit="30" topLeftCell="A31" activePane="bottomLeft" state="frozen"/>
      <selection pane="bottomLeft" activeCell="A31" sqref="A31"/>
    </sheetView>
  </sheetViews>
  <sheetFormatPr defaultColWidth="9.140625" defaultRowHeight="15" x14ac:dyDescent="0.25"/>
  <cols>
    <col min="1" max="1" width="14.7109375" customWidth="1"/>
    <col min="2" max="2" width="23" style="34" customWidth="1"/>
    <col min="3" max="3" width="19.85546875" style="34" customWidth="1"/>
    <col min="4" max="4" width="13" style="35" customWidth="1"/>
    <col min="5" max="5" width="10.7109375" customWidth="1"/>
    <col min="6" max="6" width="19.42578125" customWidth="1"/>
    <col min="7" max="7" width="19.42578125" style="27" customWidth="1"/>
    <col min="8" max="8" width="20" style="3" bestFit="1" customWidth="1"/>
    <col min="9" max="9" width="20.5703125" customWidth="1"/>
    <col min="10" max="10" width="19.7109375" customWidth="1"/>
    <col min="11" max="11" width="17.7109375" customWidth="1"/>
    <col min="14" max="14" width="14.28515625" customWidth="1"/>
    <col min="15" max="15" width="18.85546875" bestFit="1" customWidth="1"/>
    <col min="17" max="17" width="12.28515625" bestFit="1" customWidth="1"/>
  </cols>
  <sheetData>
    <row r="2" spans="8:9" ht="18" customHeight="1" x14ac:dyDescent="0.25">
      <c r="H2" s="4" t="s">
        <v>0</v>
      </c>
      <c r="I2" s="5">
        <f>AVERAGE(C31:C390)</f>
        <v>357.81348837209293</v>
      </c>
    </row>
    <row r="3" spans="8:9" x14ac:dyDescent="0.25">
      <c r="H3" s="6"/>
      <c r="I3" s="7"/>
    </row>
    <row r="4" spans="8:9" ht="14.25" customHeight="1" x14ac:dyDescent="0.25">
      <c r="H4" s="8" t="s">
        <v>1</v>
      </c>
      <c r="I4" s="5">
        <f>SUM(C31:D390) + 45003.31</f>
        <v>202444.43000000011</v>
      </c>
    </row>
    <row r="5" spans="8:9" hidden="1" x14ac:dyDescent="0.25">
      <c r="H5" s="9"/>
      <c r="I5" s="10"/>
    </row>
    <row r="6" spans="8:9" x14ac:dyDescent="0.25">
      <c r="H6" s="9"/>
      <c r="I6" s="10"/>
    </row>
    <row r="7" spans="8:9" x14ac:dyDescent="0.25">
      <c r="H7" s="11" t="s">
        <v>15</v>
      </c>
      <c r="I7" s="12">
        <v>125786.24000000001</v>
      </c>
    </row>
    <row r="8" spans="8:9" x14ac:dyDescent="0.25">
      <c r="H8" s="9"/>
      <c r="I8" s="10"/>
    </row>
    <row r="9" spans="8:9" x14ac:dyDescent="0.25">
      <c r="H9" s="11" t="s">
        <v>16</v>
      </c>
      <c r="I9" s="13" t="s">
        <v>21</v>
      </c>
    </row>
    <row r="10" spans="8:9" x14ac:dyDescent="0.25">
      <c r="H10" s="9"/>
      <c r="I10" s="10"/>
    </row>
    <row r="11" spans="8:9" x14ac:dyDescent="0.25">
      <c r="H11" s="11" t="s">
        <v>17</v>
      </c>
      <c r="I11" s="14">
        <v>189</v>
      </c>
    </row>
    <row r="12" spans="8:9" x14ac:dyDescent="0.25">
      <c r="H12" s="9"/>
      <c r="I12" s="10"/>
    </row>
    <row r="13" spans="8:9" x14ac:dyDescent="0.25">
      <c r="H13" s="11" t="s">
        <v>18</v>
      </c>
      <c r="I13" s="13" t="s">
        <v>22</v>
      </c>
    </row>
    <row r="14" spans="8:9" x14ac:dyDescent="0.25">
      <c r="H14" s="9"/>
      <c r="I14" s="10"/>
    </row>
    <row r="15" spans="8:9" x14ac:dyDescent="0.25">
      <c r="H15" s="11" t="s">
        <v>19</v>
      </c>
      <c r="I15" s="14">
        <v>154</v>
      </c>
    </row>
    <row r="16" spans="8:9" x14ac:dyDescent="0.25">
      <c r="H16" s="9"/>
      <c r="I16" s="10"/>
    </row>
    <row r="17" spans="1:17" x14ac:dyDescent="0.25">
      <c r="H17" s="11" t="s">
        <v>2</v>
      </c>
      <c r="I17" s="5">
        <f>I7+I4</f>
        <v>328230.6700000001</v>
      </c>
    </row>
    <row r="18" spans="1:17" x14ac:dyDescent="0.25">
      <c r="H18" s="9"/>
      <c r="I18" s="10"/>
    </row>
    <row r="19" spans="1:17" x14ac:dyDescent="0.25">
      <c r="H19" s="9"/>
      <c r="I19" s="10"/>
    </row>
    <row r="20" spans="1:17" x14ac:dyDescent="0.25">
      <c r="H20" s="9"/>
      <c r="I20" s="10"/>
    </row>
    <row r="21" spans="1:17" x14ac:dyDescent="0.25">
      <c r="H21" s="9"/>
      <c r="I21" s="10"/>
    </row>
    <row r="22" spans="1:17" x14ac:dyDescent="0.25">
      <c r="H22" s="9"/>
      <c r="I22" s="10"/>
    </row>
    <row r="23" spans="1:17" x14ac:dyDescent="0.25">
      <c r="H23" s="9"/>
      <c r="I23" s="10"/>
    </row>
    <row r="24" spans="1:17" ht="70.5" customHeight="1" x14ac:dyDescent="0.25">
      <c r="H24" s="9"/>
      <c r="I24" s="10"/>
    </row>
    <row r="25" spans="1:17" ht="21" customHeight="1" x14ac:dyDescent="0.25">
      <c r="H25" s="9"/>
      <c r="I25" s="10"/>
    </row>
    <row r="26" spans="1:17" ht="21" customHeight="1" x14ac:dyDescent="0.25">
      <c r="A26" t="s">
        <v>3</v>
      </c>
      <c r="B26" s="36" t="s">
        <v>4</v>
      </c>
      <c r="C26" s="37" t="s">
        <v>5</v>
      </c>
      <c r="D26" s="38" t="s">
        <v>6</v>
      </c>
      <c r="E26" t="s">
        <v>7</v>
      </c>
      <c r="F26" t="s">
        <v>8</v>
      </c>
      <c r="G26" s="27" t="s">
        <v>14</v>
      </c>
      <c r="H26" s="3" t="s">
        <v>9</v>
      </c>
      <c r="I26" t="s">
        <v>10</v>
      </c>
      <c r="J26" t="s">
        <v>11</v>
      </c>
      <c r="K26" t="s">
        <v>12</v>
      </c>
      <c r="N26" t="s">
        <v>13</v>
      </c>
      <c r="O26" t="s">
        <v>20</v>
      </c>
    </row>
    <row r="27" spans="1:17" ht="0.75" customHeight="1" x14ac:dyDescent="0.25">
      <c r="H27" s="9"/>
      <c r="I27" s="15"/>
    </row>
    <row r="28" spans="1:17" ht="22.5" hidden="1" customHeight="1" x14ac:dyDescent="0.25">
      <c r="H28" s="6"/>
      <c r="I28" s="16"/>
    </row>
    <row r="29" spans="1:17" ht="9.75" hidden="1" customHeight="1" x14ac:dyDescent="0.25">
      <c r="H29" s="17"/>
    </row>
    <row r="30" spans="1:17" s="2" customFormat="1" hidden="1" x14ac:dyDescent="0.25">
      <c r="B30" s="35"/>
      <c r="C30" s="35"/>
      <c r="D30" s="35"/>
      <c r="G30" s="45"/>
      <c r="H30" s="18"/>
    </row>
    <row r="31" spans="1:17" s="2" customFormat="1" x14ac:dyDescent="0.25">
      <c r="A31" s="19">
        <v>39600</v>
      </c>
      <c r="B31" s="39">
        <v>1199.1199999999999</v>
      </c>
      <c r="C31" s="39">
        <v>650</v>
      </c>
      <c r="D31" s="39">
        <v>0</v>
      </c>
      <c r="E31" s="21">
        <v>8.8400000000000006E-2</v>
      </c>
      <c r="F31" s="20">
        <f>'1 - Amortisation'!A3</f>
        <v>250000</v>
      </c>
      <c r="G31" s="46">
        <f>C31</f>
        <v>650</v>
      </c>
      <c r="H31" s="22">
        <f>F31/$F$31</f>
        <v>1</v>
      </c>
      <c r="I31" s="23">
        <f>'1 - Amortisation'!G2</f>
        <v>249863.44345763803</v>
      </c>
      <c r="Q31" s="43"/>
    </row>
    <row r="32" spans="1:17" x14ac:dyDescent="0.25">
      <c r="A32" s="24">
        <v>39630</v>
      </c>
      <c r="B32" s="39">
        <v>1868.4</v>
      </c>
      <c r="C32" s="39">
        <v>1050</v>
      </c>
      <c r="D32" s="39">
        <v>1966.82</v>
      </c>
      <c r="E32" s="21">
        <v>8.9899999999999994E-2</v>
      </c>
      <c r="F32" s="20">
        <v>247379.7</v>
      </c>
      <c r="G32" s="46">
        <f>G31+C32</f>
        <v>1700</v>
      </c>
      <c r="H32" s="22">
        <f>F32/$F$31</f>
        <v>0.98951880000000003</v>
      </c>
      <c r="I32" s="25">
        <f>'1 - Amortisation'!G3</f>
        <v>249725.86274120834</v>
      </c>
      <c r="J32" s="25">
        <f>I31-I32</f>
        <v>137.58071642968571</v>
      </c>
      <c r="K32" s="25">
        <f>I32-F32</f>
        <v>2346.1627412083326</v>
      </c>
      <c r="M32" s="26">
        <f>B32/D32</f>
        <v>0.94995983364008918</v>
      </c>
      <c r="N32" s="1">
        <f>F31-F32</f>
        <v>2620.2999999999884</v>
      </c>
      <c r="O32" s="44">
        <f t="shared" ref="O32:O91" si="0">F32+G32</f>
        <v>249079.7</v>
      </c>
      <c r="Q32" s="43"/>
    </row>
    <row r="33" spans="1:17" x14ac:dyDescent="0.25">
      <c r="A33" s="24">
        <v>39661</v>
      </c>
      <c r="B33" s="39">
        <v>1875.46</v>
      </c>
      <c r="C33" s="39">
        <v>259.68</v>
      </c>
      <c r="D33" s="39">
        <v>1966.82</v>
      </c>
      <c r="E33" s="21">
        <v>8.9899999999999994E-2</v>
      </c>
      <c r="F33" s="20">
        <v>247028.66</v>
      </c>
      <c r="G33" s="46">
        <f t="shared" ref="G33:G96" si="1">G32+C33</f>
        <v>1959.68</v>
      </c>
      <c r="H33" s="22">
        <f t="shared" ref="H33:H96" si="2">F33/$F$31</f>
        <v>0.98811464000000004</v>
      </c>
      <c r="I33" s="25">
        <f>'1 - Amortisation'!G4</f>
        <v>249587.25016940545</v>
      </c>
      <c r="J33" s="25">
        <f t="shared" ref="J33:J96" si="3">I32-I33</f>
        <v>138.61257180289249</v>
      </c>
      <c r="K33" s="25">
        <f t="shared" ref="K33:K115" si="4">I33-F33</f>
        <v>2558.5901694054483</v>
      </c>
      <c r="M33" s="26">
        <f t="shared" ref="M33:M96" si="5">B33/D33</f>
        <v>0.95354938428529301</v>
      </c>
      <c r="N33" s="1">
        <f t="shared" ref="N33:N85" si="6">F32-F33</f>
        <v>351.04000000000815</v>
      </c>
      <c r="O33" s="44">
        <f t="shared" si="0"/>
        <v>248988.34</v>
      </c>
      <c r="Q33" s="43"/>
    </row>
    <row r="34" spans="1:17" x14ac:dyDescent="0.25">
      <c r="A34" s="24">
        <v>39692</v>
      </c>
      <c r="B34" s="39">
        <v>1772.4</v>
      </c>
      <c r="C34" s="39">
        <f>590-46.85</f>
        <v>543.15</v>
      </c>
      <c r="D34" s="39">
        <v>1993.52</v>
      </c>
      <c r="E34" s="21">
        <v>8.7400000000000005E-2</v>
      </c>
      <c r="F34" s="20">
        <v>246264.39</v>
      </c>
      <c r="G34" s="46">
        <f t="shared" si="1"/>
        <v>2502.83</v>
      </c>
      <c r="H34" s="22">
        <f t="shared" si="2"/>
        <v>0.98505756000000011</v>
      </c>
      <c r="I34" s="25">
        <f>'1 - Amortisation'!G5</f>
        <v>249447.59800331402</v>
      </c>
      <c r="J34" s="25">
        <f t="shared" si="3"/>
        <v>139.65216609142954</v>
      </c>
      <c r="K34" s="25">
        <f t="shared" si="4"/>
        <v>3183.2080033140082</v>
      </c>
      <c r="M34" s="26">
        <f t="shared" si="5"/>
        <v>0.88908062121272935</v>
      </c>
      <c r="N34" s="1">
        <f t="shared" si="6"/>
        <v>764.26999999998952</v>
      </c>
      <c r="O34" s="44">
        <f t="shared" si="0"/>
        <v>248767.22</v>
      </c>
      <c r="Q34" s="43"/>
    </row>
    <row r="35" spans="1:17" x14ac:dyDescent="0.25">
      <c r="A35" s="24">
        <v>39722</v>
      </c>
      <c r="B35" s="39">
        <v>1748.41</v>
      </c>
      <c r="C35" s="39">
        <v>192</v>
      </c>
      <c r="D35" s="39">
        <v>1949</v>
      </c>
      <c r="E35" s="21">
        <v>7.9399999999999998E-2</v>
      </c>
      <c r="F35" s="20">
        <v>245871.28</v>
      </c>
      <c r="G35" s="46">
        <f t="shared" si="1"/>
        <v>2694.83</v>
      </c>
      <c r="H35" s="22">
        <f t="shared" si="2"/>
        <v>0.98348511999999999</v>
      </c>
      <c r="I35" s="25">
        <f>'1 - Amortisation'!G6</f>
        <v>249306.89844597693</v>
      </c>
      <c r="J35" s="25">
        <f t="shared" si="3"/>
        <v>140.69955733709503</v>
      </c>
      <c r="K35" s="25">
        <f t="shared" si="4"/>
        <v>3435.6184459769283</v>
      </c>
      <c r="M35" s="26">
        <f t="shared" si="5"/>
        <v>0.89708055413032328</v>
      </c>
      <c r="N35" s="1">
        <f t="shared" si="6"/>
        <v>393.11000000001513</v>
      </c>
      <c r="O35" s="44">
        <f t="shared" si="0"/>
        <v>248566.11</v>
      </c>
      <c r="Q35" s="43"/>
    </row>
    <row r="36" spans="1:17" x14ac:dyDescent="0.25">
      <c r="A36" s="24">
        <v>39753</v>
      </c>
      <c r="B36" s="39">
        <v>1505.94</v>
      </c>
      <c r="C36" s="39">
        <v>220</v>
      </c>
      <c r="D36" s="39">
        <v>1684</v>
      </c>
      <c r="E36" s="21">
        <v>7.1900000000000006E-2</v>
      </c>
      <c r="F36" s="20">
        <v>245433.92</v>
      </c>
      <c r="G36" s="46">
        <f t="shared" si="1"/>
        <v>2914.83</v>
      </c>
      <c r="H36" s="22">
        <f t="shared" si="2"/>
        <v>0.98173568</v>
      </c>
      <c r="I36" s="25">
        <f>'1 - Amortisation'!G7</f>
        <v>249165.14364195979</v>
      </c>
      <c r="J36" s="25">
        <f t="shared" si="3"/>
        <v>141.75480401713867</v>
      </c>
      <c r="K36" s="25">
        <f t="shared" si="4"/>
        <v>3731.2236419597757</v>
      </c>
      <c r="M36" s="26">
        <f t="shared" si="5"/>
        <v>0.89426365795724472</v>
      </c>
      <c r="N36" s="1">
        <f t="shared" si="6"/>
        <v>437.35999999998603</v>
      </c>
      <c r="O36" s="44">
        <f t="shared" si="0"/>
        <v>248348.75</v>
      </c>
      <c r="Q36" s="43"/>
    </row>
    <row r="37" spans="1:17" x14ac:dyDescent="0.25">
      <c r="A37" s="24">
        <v>39783</v>
      </c>
      <c r="B37" s="39">
        <v>1401.25</v>
      </c>
      <c r="C37" s="39">
        <v>634.77</v>
      </c>
      <c r="D37" s="39">
        <v>1520.9</v>
      </c>
      <c r="E37" s="21">
        <v>6.1899999999999997E-2</v>
      </c>
      <c r="F37" s="20">
        <v>244579.5</v>
      </c>
      <c r="G37" s="46">
        <f t="shared" si="1"/>
        <v>3549.6</v>
      </c>
      <c r="H37" s="22">
        <f t="shared" si="2"/>
        <v>0.97831800000000002</v>
      </c>
      <c r="I37" s="25">
        <f>'1 - Amortisation'!G8</f>
        <v>249022.32567691253</v>
      </c>
      <c r="J37" s="25">
        <f t="shared" si="3"/>
        <v>142.81796504725935</v>
      </c>
      <c r="K37" s="25">
        <f t="shared" si="4"/>
        <v>4442.8256769125292</v>
      </c>
      <c r="M37" s="26">
        <f t="shared" si="5"/>
        <v>0.92132947596817671</v>
      </c>
      <c r="N37" s="1">
        <f t="shared" si="6"/>
        <v>854.42000000001281</v>
      </c>
      <c r="O37" s="44">
        <f t="shared" si="0"/>
        <v>248129.1</v>
      </c>
    </row>
    <row r="38" spans="1:17" x14ac:dyDescent="0.25">
      <c r="A38" s="24">
        <v>39814</v>
      </c>
      <c r="B38" s="39">
        <v>1277.8499999999999</v>
      </c>
      <c r="C38" s="39">
        <v>179.15</v>
      </c>
      <c r="D38" s="39">
        <v>1520.9</v>
      </c>
      <c r="E38" s="21">
        <v>6.1899999999999997E-2</v>
      </c>
      <c r="F38" s="20">
        <v>244157.3</v>
      </c>
      <c r="G38" s="46">
        <f t="shared" si="1"/>
        <v>3728.75</v>
      </c>
      <c r="H38" s="22">
        <f t="shared" si="2"/>
        <v>0.97662919999999998</v>
      </c>
      <c r="I38" s="25">
        <f>'1 - Amortisation'!G9</f>
        <v>248878.4365771274</v>
      </c>
      <c r="J38" s="25">
        <f t="shared" si="3"/>
        <v>143.88909978512675</v>
      </c>
      <c r="K38" s="25">
        <f t="shared" si="4"/>
        <v>4721.1365771274141</v>
      </c>
      <c r="M38" s="26">
        <f t="shared" si="5"/>
        <v>0.84019330659477931</v>
      </c>
      <c r="N38" s="1">
        <f t="shared" si="6"/>
        <v>422.20000000001164</v>
      </c>
      <c r="O38" s="44">
        <f t="shared" si="0"/>
        <v>247886.05</v>
      </c>
    </row>
    <row r="39" spans="1:17" x14ac:dyDescent="0.25">
      <c r="A39" s="24">
        <v>39845</v>
      </c>
      <c r="B39" s="39">
        <v>1065.21</v>
      </c>
      <c r="C39" s="39">
        <v>407.79</v>
      </c>
      <c r="D39" s="39">
        <v>1520.9</v>
      </c>
      <c r="E39" s="21">
        <v>5.1900000000000002E-2</v>
      </c>
      <c r="F39" s="20">
        <v>243293.82</v>
      </c>
      <c r="G39" s="46">
        <f t="shared" si="1"/>
        <v>4136.54</v>
      </c>
      <c r="H39" s="22">
        <f t="shared" si="2"/>
        <v>0.97317527999999998</v>
      </c>
      <c r="I39" s="25">
        <f>'1 - Amortisation'!G10</f>
        <v>248733.46830909391</v>
      </c>
      <c r="J39" s="25">
        <f t="shared" si="3"/>
        <v>144.96826803349541</v>
      </c>
      <c r="K39" s="25">
        <f t="shared" si="4"/>
        <v>5439.6483090939</v>
      </c>
      <c r="M39" s="26">
        <f t="shared" si="5"/>
        <v>0.70038135314616345</v>
      </c>
      <c r="N39" s="1">
        <f t="shared" si="6"/>
        <v>863.47999999998137</v>
      </c>
      <c r="O39" s="44">
        <f t="shared" si="0"/>
        <v>247430.36000000002</v>
      </c>
    </row>
    <row r="40" spans="1:17" x14ac:dyDescent="0.25">
      <c r="A40" s="24">
        <v>39873</v>
      </c>
      <c r="B40" s="39">
        <v>1064.78</v>
      </c>
      <c r="C40" s="39">
        <v>700</v>
      </c>
      <c r="D40" s="39">
        <v>1366.11</v>
      </c>
      <c r="E40" s="21">
        <v>5.1900000000000002E-2</v>
      </c>
      <c r="F40" s="20">
        <v>242292.49</v>
      </c>
      <c r="G40" s="46">
        <f t="shared" si="1"/>
        <v>4836.54</v>
      </c>
      <c r="H40" s="22">
        <f t="shared" si="2"/>
        <v>0.96916996</v>
      </c>
      <c r="I40" s="25">
        <f>'1 - Amortisation'!G11</f>
        <v>248587.41277905015</v>
      </c>
      <c r="J40" s="25">
        <f t="shared" si="3"/>
        <v>146.05553004375543</v>
      </c>
      <c r="K40" s="25">
        <f t="shared" si="4"/>
        <v>6294.9227790501609</v>
      </c>
      <c r="M40" s="26">
        <f t="shared" si="5"/>
        <v>0.77942479009742993</v>
      </c>
      <c r="N40" s="1">
        <f t="shared" si="6"/>
        <v>1001.3300000000163</v>
      </c>
      <c r="O40" s="44">
        <f t="shared" si="0"/>
        <v>247129.03</v>
      </c>
    </row>
    <row r="41" spans="1:17" x14ac:dyDescent="0.25">
      <c r="A41" s="24">
        <v>39904</v>
      </c>
      <c r="B41" s="39">
        <v>1018.44</v>
      </c>
      <c r="C41" s="39">
        <v>400</v>
      </c>
      <c r="D41" s="39">
        <v>1366.11</v>
      </c>
      <c r="E41" s="21">
        <v>5.0900000000000001E-2</v>
      </c>
      <c r="F41" s="20">
        <v>241544.82</v>
      </c>
      <c r="G41" s="46">
        <f t="shared" si="1"/>
        <v>5236.54</v>
      </c>
      <c r="H41" s="22">
        <f t="shared" si="2"/>
        <v>0.96617927999999997</v>
      </c>
      <c r="I41" s="25">
        <f>'1 - Amortisation'!G12</f>
        <v>248440.26183253108</v>
      </c>
      <c r="J41" s="25">
        <f t="shared" si="3"/>
        <v>147.15094651907566</v>
      </c>
      <c r="K41" s="25">
        <f t="shared" si="4"/>
        <v>6895.4418325310689</v>
      </c>
      <c r="M41" s="26">
        <f t="shared" si="5"/>
        <v>0.74550365636734972</v>
      </c>
      <c r="N41" s="1">
        <f t="shared" si="6"/>
        <v>747.6699999999837</v>
      </c>
      <c r="O41" s="44">
        <f t="shared" si="0"/>
        <v>246781.36000000002</v>
      </c>
    </row>
    <row r="42" spans="1:17" x14ac:dyDescent="0.25">
      <c r="A42" s="24">
        <v>39934</v>
      </c>
      <c r="B42" s="39">
        <v>1038.93</v>
      </c>
      <c r="C42" s="39">
        <v>200</v>
      </c>
      <c r="D42" s="39">
        <v>1351.01</v>
      </c>
      <c r="E42" s="21">
        <v>5.0900000000000001E-2</v>
      </c>
      <c r="F42" s="20">
        <v>241032.74</v>
      </c>
      <c r="G42" s="46">
        <f t="shared" si="1"/>
        <v>5436.54</v>
      </c>
      <c r="H42" s="22">
        <f t="shared" si="2"/>
        <v>0.96413095999999998</v>
      </c>
      <c r="I42" s="25">
        <f>'1 - Amortisation'!G13</f>
        <v>248292.00725391309</v>
      </c>
      <c r="J42" s="25">
        <f t="shared" si="3"/>
        <v>148.2545786179835</v>
      </c>
      <c r="K42" s="25">
        <f t="shared" si="4"/>
        <v>7259.2672539131017</v>
      </c>
      <c r="M42" s="26">
        <f t="shared" si="5"/>
        <v>0.76900245001887479</v>
      </c>
      <c r="N42" s="1">
        <f t="shared" si="6"/>
        <v>512.0800000000163</v>
      </c>
      <c r="O42" s="44">
        <f t="shared" si="0"/>
        <v>246469.28</v>
      </c>
    </row>
    <row r="43" spans="1:17" x14ac:dyDescent="0.25">
      <c r="A43" s="24">
        <v>39965</v>
      </c>
      <c r="B43" s="39">
        <v>1003.26</v>
      </c>
      <c r="C43" s="39">
        <v>200</v>
      </c>
      <c r="D43" s="39">
        <v>1351.01</v>
      </c>
      <c r="E43" s="21">
        <v>5.0900000000000001E-2</v>
      </c>
      <c r="F43" s="20">
        <v>240484.99</v>
      </c>
      <c r="G43" s="46">
        <f t="shared" si="1"/>
        <v>5636.54</v>
      </c>
      <c r="H43" s="22">
        <f t="shared" si="2"/>
        <v>0.96193995999999993</v>
      </c>
      <c r="I43" s="25">
        <f>'1 - Amortisation'!G14</f>
        <v>248142.6407659555</v>
      </c>
      <c r="J43" s="25">
        <f t="shared" si="3"/>
        <v>149.36648795759538</v>
      </c>
      <c r="K43" s="25">
        <f t="shared" si="4"/>
        <v>7657.6507659555064</v>
      </c>
      <c r="M43" s="26">
        <f t="shared" si="5"/>
        <v>0.74259998075513878</v>
      </c>
      <c r="N43" s="1">
        <f t="shared" si="6"/>
        <v>547.75</v>
      </c>
      <c r="O43" s="44">
        <f t="shared" si="0"/>
        <v>246121.53</v>
      </c>
    </row>
    <row r="44" spans="1:17" x14ac:dyDescent="0.25">
      <c r="A44" s="24">
        <v>39995</v>
      </c>
      <c r="B44" s="39">
        <v>1034.3699999999999</v>
      </c>
      <c r="C44" s="39">
        <v>200</v>
      </c>
      <c r="D44" s="39">
        <v>1351.01</v>
      </c>
      <c r="E44" s="21">
        <v>5.0900000000000001E-2</v>
      </c>
      <c r="F44" s="29">
        <f>F43+B44-(C44+D44)</f>
        <v>239968.34999999998</v>
      </c>
      <c r="G44" s="46">
        <f t="shared" si="1"/>
        <v>5836.54</v>
      </c>
      <c r="H44" s="22">
        <f t="shared" si="2"/>
        <v>0.95987339999999988</v>
      </c>
      <c r="I44" s="25">
        <f>'1 - Amortisation'!G15</f>
        <v>247992.15402933821</v>
      </c>
      <c r="J44" s="25">
        <f t="shared" si="3"/>
        <v>150.4867366172839</v>
      </c>
      <c r="K44" s="25">
        <f t="shared" si="4"/>
        <v>8023.8040293382364</v>
      </c>
      <c r="M44" s="26">
        <f t="shared" si="5"/>
        <v>0.76562719743007079</v>
      </c>
      <c r="N44" s="1">
        <f t="shared" si="6"/>
        <v>516.64000000001397</v>
      </c>
      <c r="O44" s="44">
        <f t="shared" si="0"/>
        <v>245804.88999999998</v>
      </c>
    </row>
    <row r="45" spans="1:17" x14ac:dyDescent="0.25">
      <c r="A45" s="24">
        <v>40026</v>
      </c>
      <c r="B45" s="39">
        <v>1031.94</v>
      </c>
      <c r="C45" s="39">
        <v>300</v>
      </c>
      <c r="D45" s="39">
        <v>1351.01</v>
      </c>
      <c r="E45" s="21">
        <v>5.0900000000000001E-2</v>
      </c>
      <c r="F45" s="20">
        <v>239349.28</v>
      </c>
      <c r="G45" s="46">
        <f t="shared" si="1"/>
        <v>6136.54</v>
      </c>
      <c r="H45" s="22">
        <f t="shared" si="2"/>
        <v>0.95739711999999999</v>
      </c>
      <c r="I45" s="25">
        <f>'1 - Amortisation'!G16</f>
        <v>247840.5386421963</v>
      </c>
      <c r="J45" s="25">
        <f t="shared" si="3"/>
        <v>151.61538714190829</v>
      </c>
      <c r="K45" s="25">
        <f t="shared" si="4"/>
        <v>8491.258642196306</v>
      </c>
      <c r="M45" s="26">
        <f t="shared" si="5"/>
        <v>0.7638285430899846</v>
      </c>
      <c r="N45" s="1">
        <f t="shared" si="6"/>
        <v>619.06999999997788</v>
      </c>
      <c r="O45" s="44">
        <f t="shared" si="0"/>
        <v>245485.82</v>
      </c>
    </row>
    <row r="46" spans="1:17" x14ac:dyDescent="0.25">
      <c r="A46" s="24">
        <v>40057</v>
      </c>
      <c r="B46" s="39">
        <v>993.42</v>
      </c>
      <c r="C46" s="39">
        <f>453.76+600-132.85</f>
        <v>920.91</v>
      </c>
      <c r="D46" s="39">
        <v>1351.01</v>
      </c>
      <c r="E46" s="21">
        <v>5.0900000000000001E-2</v>
      </c>
      <c r="F46" s="20">
        <v>238070.78</v>
      </c>
      <c r="G46" s="46">
        <f t="shared" si="1"/>
        <v>7057.45</v>
      </c>
      <c r="H46" s="22">
        <f t="shared" si="2"/>
        <v>0.95228312000000004</v>
      </c>
      <c r="I46" s="25">
        <f>'1 - Amortisation'!G17</f>
        <v>247687.78613965082</v>
      </c>
      <c r="J46" s="25">
        <f t="shared" si="3"/>
        <v>152.75250254548155</v>
      </c>
      <c r="K46" s="25">
        <f t="shared" si="4"/>
        <v>9617.0061396508245</v>
      </c>
      <c r="M46" s="26">
        <f t="shared" si="5"/>
        <v>0.73531654095824606</v>
      </c>
      <c r="N46" s="1">
        <f t="shared" si="6"/>
        <v>1278.5</v>
      </c>
      <c r="O46" s="44">
        <f t="shared" si="0"/>
        <v>245128.23</v>
      </c>
    </row>
    <row r="47" spans="1:17" x14ac:dyDescent="0.25">
      <c r="A47" s="24">
        <v>40087</v>
      </c>
      <c r="B47" s="39">
        <v>1057.49</v>
      </c>
      <c r="C47" s="40">
        <f>-1600+50</f>
        <v>-1550</v>
      </c>
      <c r="D47" s="39">
        <v>1351.01</v>
      </c>
      <c r="E47" s="21">
        <v>5.3400000000000003E-2</v>
      </c>
      <c r="F47" s="20">
        <v>239327.26</v>
      </c>
      <c r="G47" s="46">
        <f t="shared" si="1"/>
        <v>5507.45</v>
      </c>
      <c r="H47" s="22">
        <f t="shared" si="2"/>
        <v>0.95730904000000006</v>
      </c>
      <c r="I47" s="25">
        <f>'1 - Amortisation'!G18</f>
        <v>247533.88799333625</v>
      </c>
      <c r="J47" s="25">
        <f t="shared" si="3"/>
        <v>153.89814631457557</v>
      </c>
      <c r="K47" s="25">
        <f t="shared" si="4"/>
        <v>8206.6279933362384</v>
      </c>
      <c r="M47" s="26">
        <f t="shared" si="5"/>
        <v>0.78274032020488371</v>
      </c>
      <c r="N47" s="32">
        <f t="shared" si="6"/>
        <v>-1256.4800000000105</v>
      </c>
      <c r="O47" s="44">
        <f t="shared" si="0"/>
        <v>244834.71000000002</v>
      </c>
    </row>
    <row r="48" spans="1:17" x14ac:dyDescent="0.25">
      <c r="A48" s="24">
        <v>40118</v>
      </c>
      <c r="B48" s="39">
        <v>1085.54</v>
      </c>
      <c r="C48" s="39">
        <v>50</v>
      </c>
      <c r="D48" s="39">
        <v>1351.01</v>
      </c>
      <c r="E48" s="21">
        <v>5.5899999999999998E-2</v>
      </c>
      <c r="F48" s="20">
        <v>239011.79</v>
      </c>
      <c r="G48" s="46">
        <f t="shared" si="1"/>
        <v>5557.45</v>
      </c>
      <c r="H48" s="22">
        <f t="shared" si="2"/>
        <v>0.95604716000000001</v>
      </c>
      <c r="I48" s="25">
        <f>'1 - Amortisation'!G19</f>
        <v>247378.83561092432</v>
      </c>
      <c r="J48" s="25">
        <f t="shared" si="3"/>
        <v>155.05238241193001</v>
      </c>
      <c r="K48" s="25">
        <f t="shared" si="4"/>
        <v>8367.0456109243096</v>
      </c>
      <c r="M48" s="26">
        <f t="shared" si="5"/>
        <v>0.80350256474785531</v>
      </c>
      <c r="N48" s="1">
        <f t="shared" si="6"/>
        <v>315.47000000000116</v>
      </c>
      <c r="O48" s="44">
        <f t="shared" si="0"/>
        <v>244569.24000000002</v>
      </c>
    </row>
    <row r="49" spans="1:15" x14ac:dyDescent="0.25">
      <c r="A49" s="24">
        <v>40148</v>
      </c>
      <c r="B49" s="39">
        <v>1184.1300000000001</v>
      </c>
      <c r="C49" s="39">
        <v>50</v>
      </c>
      <c r="D49" s="39">
        <v>1387.63</v>
      </c>
      <c r="E49" s="21">
        <v>5.9400000000000001E-2</v>
      </c>
      <c r="F49" s="20">
        <v>238758.29</v>
      </c>
      <c r="G49" s="46">
        <f t="shared" si="1"/>
        <v>5607.45</v>
      </c>
      <c r="H49" s="22">
        <f t="shared" si="2"/>
        <v>0.95503316000000005</v>
      </c>
      <c r="I49" s="25">
        <f>'1 - Amortisation'!G20</f>
        <v>247222.62033564429</v>
      </c>
      <c r="J49" s="25">
        <f t="shared" si="3"/>
        <v>156.21527528003207</v>
      </c>
      <c r="K49" s="25">
        <f t="shared" si="4"/>
        <v>8464.3303356442775</v>
      </c>
      <c r="M49" s="26">
        <f t="shared" si="5"/>
        <v>0.85334707378768115</v>
      </c>
      <c r="N49" s="1">
        <f t="shared" si="6"/>
        <v>253.5</v>
      </c>
      <c r="O49" s="44">
        <f t="shared" si="0"/>
        <v>244365.74000000002</v>
      </c>
    </row>
    <row r="50" spans="1:15" x14ac:dyDescent="0.25">
      <c r="A50" s="24">
        <v>40179</v>
      </c>
      <c r="B50" s="39">
        <v>1197.49</v>
      </c>
      <c r="C50" s="39">
        <v>50</v>
      </c>
      <c r="D50" s="39">
        <v>1478.86</v>
      </c>
      <c r="E50" s="21">
        <v>5.9400000000000001E-2</v>
      </c>
      <c r="F50" s="20">
        <v>238426.92</v>
      </c>
      <c r="G50" s="46">
        <f t="shared" si="1"/>
        <v>5657.45</v>
      </c>
      <c r="H50" s="22">
        <f t="shared" si="2"/>
        <v>0.95370768000000006</v>
      </c>
      <c r="I50" s="25">
        <f>'1 - Amortisation'!G21</f>
        <v>247065.23344579965</v>
      </c>
      <c r="J50" s="25">
        <f t="shared" si="3"/>
        <v>157.38688984463806</v>
      </c>
      <c r="K50" s="25">
        <f t="shared" si="4"/>
        <v>8638.3134457996348</v>
      </c>
      <c r="M50" s="26">
        <f t="shared" si="5"/>
        <v>0.80973858242159502</v>
      </c>
      <c r="N50" s="1">
        <f t="shared" si="6"/>
        <v>331.36999999999534</v>
      </c>
      <c r="O50" s="44">
        <f t="shared" si="0"/>
        <v>244084.37000000002</v>
      </c>
    </row>
    <row r="51" spans="1:15" x14ac:dyDescent="0.25">
      <c r="A51" s="24">
        <v>40210</v>
      </c>
      <c r="B51" s="39">
        <v>1080.82</v>
      </c>
      <c r="C51" s="39">
        <v>50</v>
      </c>
      <c r="D51" s="39">
        <v>1478.86</v>
      </c>
      <c r="E51" s="21">
        <v>5.9400000000000001E-2</v>
      </c>
      <c r="F51" s="20">
        <v>237978.88</v>
      </c>
      <c r="G51" s="46">
        <f t="shared" si="1"/>
        <v>5707.45</v>
      </c>
      <c r="H51" s="22">
        <f t="shared" si="2"/>
        <v>0.95191552000000001</v>
      </c>
      <c r="I51" s="25">
        <f>'1 - Amortisation'!G22</f>
        <v>246906.66615428118</v>
      </c>
      <c r="J51" s="25">
        <f t="shared" si="3"/>
        <v>158.56729151846957</v>
      </c>
      <c r="K51" s="25">
        <f t="shared" si="4"/>
        <v>8927.7861542811734</v>
      </c>
      <c r="M51" s="26">
        <f t="shared" si="5"/>
        <v>0.73084673329456473</v>
      </c>
      <c r="N51" s="1">
        <f t="shared" si="6"/>
        <v>448.04000000000815</v>
      </c>
      <c r="O51" s="44">
        <f t="shared" si="0"/>
        <v>243686.33000000002</v>
      </c>
    </row>
    <row r="52" spans="1:15" x14ac:dyDescent="0.25">
      <c r="A52" s="24">
        <v>40238</v>
      </c>
      <c r="B52" s="39">
        <v>1238.3499999999999</v>
      </c>
      <c r="C52" s="39">
        <v>50</v>
      </c>
      <c r="D52" s="39">
        <v>1478.86</v>
      </c>
      <c r="E52" s="21">
        <v>6.1899999999999997E-2</v>
      </c>
      <c r="F52" s="20">
        <v>237688.37</v>
      </c>
      <c r="G52" s="46">
        <f t="shared" si="1"/>
        <v>5757.45</v>
      </c>
      <c r="H52" s="22">
        <f t="shared" si="2"/>
        <v>0.95075347999999993</v>
      </c>
      <c r="I52" s="25">
        <f>'1 - Amortisation'!G23</f>
        <v>246746.90960807633</v>
      </c>
      <c r="J52" s="25">
        <f t="shared" si="3"/>
        <v>159.75654620485147</v>
      </c>
      <c r="K52" s="25">
        <f t="shared" si="4"/>
        <v>9058.5396080763312</v>
      </c>
      <c r="M52" s="26">
        <f t="shared" si="5"/>
        <v>0.83736797262756446</v>
      </c>
      <c r="N52" s="1">
        <f t="shared" si="6"/>
        <v>290.51000000000931</v>
      </c>
      <c r="O52" s="44">
        <f t="shared" si="0"/>
        <v>243445.82</v>
      </c>
    </row>
    <row r="53" spans="1:15" x14ac:dyDescent="0.25">
      <c r="A53" s="24">
        <v>40269</v>
      </c>
      <c r="B53" s="39">
        <v>1236.53</v>
      </c>
      <c r="C53" s="39">
        <v>150</v>
      </c>
      <c r="D53" s="39">
        <v>1516.78</v>
      </c>
      <c r="E53" s="21">
        <v>6.4899999999999999E-2</v>
      </c>
      <c r="F53" s="20">
        <v>237258.12</v>
      </c>
      <c r="G53" s="46">
        <f t="shared" si="1"/>
        <v>5907.45</v>
      </c>
      <c r="H53" s="22">
        <f t="shared" si="2"/>
        <v>0.94903247999999996</v>
      </c>
      <c r="I53" s="25">
        <f>'1 - Amortisation'!G24</f>
        <v>246585.95488777495</v>
      </c>
      <c r="J53" s="25">
        <f t="shared" si="3"/>
        <v>160.95472030137898</v>
      </c>
      <c r="K53" s="25">
        <f t="shared" si="4"/>
        <v>9327.8348877749522</v>
      </c>
      <c r="M53" s="26">
        <f t="shared" si="5"/>
        <v>0.81523358694075609</v>
      </c>
      <c r="N53" s="1">
        <f t="shared" si="6"/>
        <v>430.25</v>
      </c>
      <c r="O53" s="44">
        <f t="shared" si="0"/>
        <v>243165.57</v>
      </c>
    </row>
    <row r="54" spans="1:15" x14ac:dyDescent="0.25">
      <c r="A54" s="24">
        <v>40299</v>
      </c>
      <c r="B54" s="39">
        <v>1339.32</v>
      </c>
      <c r="C54" s="39">
        <v>250</v>
      </c>
      <c r="D54" s="39">
        <v>1516.78</v>
      </c>
      <c r="E54" s="21">
        <v>6.7400000000000002E-2</v>
      </c>
      <c r="F54" s="20">
        <v>236831.26</v>
      </c>
      <c r="G54" s="46">
        <f t="shared" si="1"/>
        <v>6157.45</v>
      </c>
      <c r="H54" s="22">
        <f t="shared" si="2"/>
        <v>0.94732504000000006</v>
      </c>
      <c r="I54" s="25">
        <f>'1 - Amortisation'!G25</f>
        <v>246423.7930070713</v>
      </c>
      <c r="J54" s="25">
        <f t="shared" si="3"/>
        <v>162.16188070364296</v>
      </c>
      <c r="K54" s="25">
        <f t="shared" si="4"/>
        <v>9592.5330070712953</v>
      </c>
      <c r="M54" s="26">
        <f t="shared" si="5"/>
        <v>0.88300214928994314</v>
      </c>
      <c r="N54" s="1">
        <f t="shared" si="6"/>
        <v>426.85999999998603</v>
      </c>
      <c r="O54" s="44">
        <f t="shared" si="0"/>
        <v>242988.71000000002</v>
      </c>
    </row>
    <row r="55" spans="1:15" x14ac:dyDescent="0.25">
      <c r="A55" s="24">
        <v>40330</v>
      </c>
      <c r="B55" s="39">
        <v>1303.8399999999999</v>
      </c>
      <c r="C55" s="39">
        <v>300</v>
      </c>
      <c r="D55" s="39">
        <v>1563.67</v>
      </c>
      <c r="E55" s="21">
        <v>6.7400000000000002E-2</v>
      </c>
      <c r="F55" s="20">
        <v>236271.43</v>
      </c>
      <c r="G55" s="46">
        <f t="shared" si="1"/>
        <v>6457.45</v>
      </c>
      <c r="H55" s="22">
        <f t="shared" si="2"/>
        <v>0.94508572000000002</v>
      </c>
      <c r="I55" s="25">
        <f>'1 - Amortisation'!G26</f>
        <v>246260.41491226238</v>
      </c>
      <c r="J55" s="25">
        <f t="shared" si="3"/>
        <v>163.37809480892611</v>
      </c>
      <c r="K55" s="25">
        <f t="shared" si="4"/>
        <v>9988.9849122623855</v>
      </c>
      <c r="M55" s="26">
        <f t="shared" si="5"/>
        <v>0.83383322568061025</v>
      </c>
      <c r="N55" s="1">
        <f t="shared" si="6"/>
        <v>559.8300000000163</v>
      </c>
      <c r="O55" s="44">
        <f t="shared" si="0"/>
        <v>242728.88</v>
      </c>
    </row>
    <row r="56" spans="1:15" x14ac:dyDescent="0.25">
      <c r="A56" s="24">
        <v>40360</v>
      </c>
      <c r="B56" s="39">
        <v>1342.5</v>
      </c>
      <c r="C56" s="39">
        <v>350</v>
      </c>
      <c r="D56" s="39">
        <v>1602.83</v>
      </c>
      <c r="E56" s="21">
        <v>6.7400000000000002E-2</v>
      </c>
      <c r="F56" s="20">
        <v>235661.1</v>
      </c>
      <c r="G56" s="46">
        <f t="shared" si="1"/>
        <v>6807.45</v>
      </c>
      <c r="H56" s="22">
        <f t="shared" si="2"/>
        <v>0.94264440000000005</v>
      </c>
      <c r="I56" s="25">
        <f>'1 - Amortisation'!G27</f>
        <v>246095.81148174239</v>
      </c>
      <c r="J56" s="25">
        <f t="shared" si="3"/>
        <v>164.60343051998643</v>
      </c>
      <c r="K56" s="25">
        <f t="shared" si="4"/>
        <v>10434.711481742386</v>
      </c>
      <c r="M56" s="26">
        <f t="shared" si="5"/>
        <v>0.83758102855574212</v>
      </c>
      <c r="N56" s="1">
        <f>F55-F56</f>
        <v>610.32999999998719</v>
      </c>
      <c r="O56" s="44">
        <f t="shared" si="0"/>
        <v>242468.55000000002</v>
      </c>
    </row>
    <row r="57" spans="1:15" x14ac:dyDescent="0.25">
      <c r="A57" s="24">
        <v>40391</v>
      </c>
      <c r="B57" s="39">
        <v>1340.64</v>
      </c>
      <c r="C57" s="39">
        <v>300</v>
      </c>
      <c r="D57" s="39">
        <v>1602.83</v>
      </c>
      <c r="E57" s="21">
        <v>6.7400000000000002E-2</v>
      </c>
      <c r="F57" s="20">
        <v>235098.91</v>
      </c>
      <c r="G57" s="46">
        <f t="shared" si="1"/>
        <v>7107.45</v>
      </c>
      <c r="H57" s="22">
        <f t="shared" si="2"/>
        <v>0.94039563999999998</v>
      </c>
      <c r="I57" s="25">
        <f>'1 - Amortisation'!G28</f>
        <v>245929.97352549349</v>
      </c>
      <c r="J57" s="25">
        <f t="shared" si="3"/>
        <v>165.83795624889899</v>
      </c>
      <c r="K57" s="25">
        <f t="shared" si="4"/>
        <v>10831.06352549349</v>
      </c>
      <c r="M57" s="26">
        <f t="shared" si="5"/>
        <v>0.83642058109718442</v>
      </c>
      <c r="N57" s="1">
        <f t="shared" si="6"/>
        <v>562.19000000000233</v>
      </c>
      <c r="O57" s="44">
        <f t="shared" si="0"/>
        <v>242206.36000000002</v>
      </c>
    </row>
    <row r="58" spans="1:15" x14ac:dyDescent="0.25">
      <c r="A58" s="24">
        <v>40422</v>
      </c>
      <c r="B58" s="39">
        <v>1293.73</v>
      </c>
      <c r="C58" s="39">
        <f>400</f>
        <v>400</v>
      </c>
      <c r="D58" s="39">
        <v>1602.83</v>
      </c>
      <c r="E58" s="21">
        <v>6.7400000000000002E-2</v>
      </c>
      <c r="F58" s="20">
        <v>234245.36</v>
      </c>
      <c r="G58" s="46">
        <f t="shared" si="1"/>
        <v>7507.45</v>
      </c>
      <c r="H58" s="22">
        <f t="shared" si="2"/>
        <v>0.93698143999999994</v>
      </c>
      <c r="I58" s="25">
        <f>'1 - Amortisation'!G29</f>
        <v>245762.89178457274</v>
      </c>
      <c r="J58" s="25">
        <f t="shared" si="3"/>
        <v>167.08174092075205</v>
      </c>
      <c r="K58" s="25">
        <f t="shared" si="4"/>
        <v>11517.531784572755</v>
      </c>
      <c r="M58" s="26">
        <f t="shared" si="5"/>
        <v>0.80715359707517331</v>
      </c>
      <c r="N58" s="1">
        <f t="shared" si="6"/>
        <v>853.55000000001746</v>
      </c>
      <c r="O58" s="44">
        <f t="shared" si="0"/>
        <v>241752.81</v>
      </c>
    </row>
    <row r="59" spans="1:15" x14ac:dyDescent="0.25">
      <c r="A59" s="24">
        <v>40452</v>
      </c>
      <c r="B59" s="39">
        <v>1335.56</v>
      </c>
      <c r="C59" s="41">
        <v>600</v>
      </c>
      <c r="D59" s="39">
        <v>1602.83</v>
      </c>
      <c r="E59" s="21">
        <v>6.7400000000000002E-2</v>
      </c>
      <c r="F59" s="20">
        <v>233522.54</v>
      </c>
      <c r="G59" s="46">
        <f t="shared" si="1"/>
        <v>8107.45</v>
      </c>
      <c r="H59" s="22">
        <f t="shared" si="2"/>
        <v>0.93409016</v>
      </c>
      <c r="I59" s="25">
        <f>'1 - Amortisation'!G30</f>
        <v>245594.55693059508</v>
      </c>
      <c r="J59" s="25">
        <f t="shared" si="3"/>
        <v>168.33485397766344</v>
      </c>
      <c r="K59" s="25">
        <f t="shared" si="4"/>
        <v>12072.016930595069</v>
      </c>
      <c r="M59" s="26">
        <f t="shared" si="5"/>
        <v>0.83325118696305911</v>
      </c>
      <c r="N59" s="1">
        <f t="shared" si="6"/>
        <v>722.81999999997788</v>
      </c>
      <c r="O59" s="44">
        <f t="shared" si="0"/>
        <v>241629.99000000002</v>
      </c>
    </row>
    <row r="60" spans="1:15" ht="15.75" thickBot="1" x14ac:dyDescent="0.3">
      <c r="A60" s="24">
        <v>40483</v>
      </c>
      <c r="B60" s="39">
        <v>1307.6300000000001</v>
      </c>
      <c r="C60" s="41">
        <f>4000+300-1300</f>
        <v>3000</v>
      </c>
      <c r="D60" s="39">
        <v>1602.83</v>
      </c>
      <c r="E60" s="21">
        <v>7.1199999999999999E-2</v>
      </c>
      <c r="F60" s="20">
        <v>230227.34</v>
      </c>
      <c r="G60" s="46">
        <f t="shared" si="1"/>
        <v>11107.45</v>
      </c>
      <c r="H60" s="22">
        <f t="shared" si="2"/>
        <v>0.92090936000000001</v>
      </c>
      <c r="I60" s="25">
        <f>'1 - Amortisation'!G31</f>
        <v>245424.95956521257</v>
      </c>
      <c r="J60" s="25">
        <f t="shared" si="3"/>
        <v>169.59736538250581</v>
      </c>
      <c r="K60" s="25">
        <f t="shared" si="4"/>
        <v>15197.619565212575</v>
      </c>
      <c r="M60" s="26">
        <f t="shared" si="5"/>
        <v>0.8158257581902012</v>
      </c>
      <c r="N60" s="1">
        <f t="shared" si="6"/>
        <v>3295.2000000000116</v>
      </c>
      <c r="O60" s="44">
        <f t="shared" si="0"/>
        <v>241334.79</v>
      </c>
    </row>
    <row r="61" spans="1:15" ht="15.75" thickBot="1" x14ac:dyDescent="0.3">
      <c r="A61" s="24">
        <v>40513</v>
      </c>
      <c r="B61" s="39">
        <v>1389.03</v>
      </c>
      <c r="C61" s="41">
        <v>500</v>
      </c>
      <c r="D61" s="39">
        <v>1661.69</v>
      </c>
      <c r="E61" s="21">
        <v>7.1199999999999999E-2</v>
      </c>
      <c r="F61" s="28">
        <v>229742.18</v>
      </c>
      <c r="G61" s="46">
        <f t="shared" si="1"/>
        <v>11607.45</v>
      </c>
      <c r="H61" s="22">
        <f t="shared" si="2"/>
        <v>0.91896871999999996</v>
      </c>
      <c r="I61" s="25">
        <f>'1 - Amortisation'!G32</f>
        <v>245254.09021958971</v>
      </c>
      <c r="J61" s="25">
        <f t="shared" si="3"/>
        <v>170.86934562286478</v>
      </c>
      <c r="K61" s="25">
        <f t="shared" si="4"/>
        <v>15511.910219589714</v>
      </c>
      <c r="M61" s="26">
        <f t="shared" si="5"/>
        <v>0.83591403932141373</v>
      </c>
      <c r="N61" s="1">
        <f t="shared" si="6"/>
        <v>485.16000000000349</v>
      </c>
      <c r="O61" s="44">
        <f t="shared" si="0"/>
        <v>241349.63</v>
      </c>
    </row>
    <row r="62" spans="1:15" x14ac:dyDescent="0.25">
      <c r="A62" s="24">
        <v>40544</v>
      </c>
      <c r="B62" s="39">
        <v>1380.22</v>
      </c>
      <c r="C62" s="41">
        <f>500+1666.99</f>
        <v>2166.9899999999998</v>
      </c>
      <c r="D62" s="39">
        <v>1661.69</v>
      </c>
      <c r="E62" s="21">
        <v>7.1199999999999999E-2</v>
      </c>
      <c r="F62" s="20">
        <v>227293.72</v>
      </c>
      <c r="G62" s="46">
        <f t="shared" si="1"/>
        <v>13774.44</v>
      </c>
      <c r="H62" s="22">
        <f t="shared" si="2"/>
        <v>0.90917488000000002</v>
      </c>
      <c r="I62" s="25">
        <f>'1 - Amortisation'!G33</f>
        <v>245081.93935387468</v>
      </c>
      <c r="J62" s="25">
        <f t="shared" si="3"/>
        <v>172.15086571502616</v>
      </c>
      <c r="K62" s="25">
        <f t="shared" si="4"/>
        <v>17788.21935387468</v>
      </c>
      <c r="M62" s="26">
        <f t="shared" si="5"/>
        <v>0.83061220805324698</v>
      </c>
      <c r="N62" s="1">
        <f t="shared" si="6"/>
        <v>2448.4599999999919</v>
      </c>
      <c r="O62" s="44">
        <f t="shared" si="0"/>
        <v>241068.16</v>
      </c>
    </row>
    <row r="63" spans="1:15" x14ac:dyDescent="0.25">
      <c r="A63" s="24">
        <v>40575</v>
      </c>
      <c r="B63" s="39">
        <v>1237.8800000000001</v>
      </c>
      <c r="C63" s="41">
        <f>1000-(175+80+58+144)</f>
        <v>543</v>
      </c>
      <c r="D63" s="39">
        <v>1661.69</v>
      </c>
      <c r="E63" s="21">
        <v>7.1199999999999999E-2</v>
      </c>
      <c r="F63" s="20">
        <v>226326.91</v>
      </c>
      <c r="G63" s="46">
        <f t="shared" si="1"/>
        <v>14317.44</v>
      </c>
      <c r="H63" s="22">
        <f t="shared" si="2"/>
        <v>0.90530763999999997</v>
      </c>
      <c r="I63" s="25">
        <f>'1 - Amortisation'!G34</f>
        <v>244908.49735666678</v>
      </c>
      <c r="J63" s="25">
        <f t="shared" si="3"/>
        <v>173.44199720790493</v>
      </c>
      <c r="K63" s="25">
        <f t="shared" si="4"/>
        <v>18581.587356666772</v>
      </c>
      <c r="M63" s="26">
        <f t="shared" si="5"/>
        <v>0.74495242794985828</v>
      </c>
      <c r="N63" s="1">
        <f t="shared" si="6"/>
        <v>966.80999999999767</v>
      </c>
      <c r="O63" s="44">
        <f t="shared" si="0"/>
        <v>240644.35</v>
      </c>
    </row>
    <row r="64" spans="1:15" x14ac:dyDescent="0.25">
      <c r="A64" s="24">
        <v>40603</v>
      </c>
      <c r="B64" s="39">
        <v>1362.2</v>
      </c>
      <c r="C64" s="41">
        <f>500+1250</f>
        <v>1750</v>
      </c>
      <c r="D64" s="39">
        <v>1661.69</v>
      </c>
      <c r="E64" s="21">
        <v>7.1199999999999999E-2</v>
      </c>
      <c r="F64" s="20">
        <v>224277.42</v>
      </c>
      <c r="G64" s="46">
        <f t="shared" si="1"/>
        <v>16067.44</v>
      </c>
      <c r="H64" s="22">
        <f t="shared" si="2"/>
        <v>0.89710968000000002</v>
      </c>
      <c r="I64" s="25">
        <f>'1 - Amortisation'!G35</f>
        <v>244733.75454447983</v>
      </c>
      <c r="J64" s="25">
        <f t="shared" si="3"/>
        <v>174.74281218694523</v>
      </c>
      <c r="K64" s="25">
        <f t="shared" si="4"/>
        <v>20456.334544479818</v>
      </c>
      <c r="M64" s="26">
        <f t="shared" si="5"/>
        <v>0.81976782673061765</v>
      </c>
      <c r="N64" s="1">
        <f t="shared" si="6"/>
        <v>2049.4899999999907</v>
      </c>
      <c r="O64" s="44">
        <f t="shared" si="0"/>
        <v>240344.86000000002</v>
      </c>
    </row>
    <row r="65" spans="1:15" x14ac:dyDescent="0.25">
      <c r="A65" s="24">
        <v>40634</v>
      </c>
      <c r="B65" s="39">
        <v>1307.1400000000001</v>
      </c>
      <c r="C65" s="41">
        <f>(-350)+1570+(-300)</f>
        <v>920</v>
      </c>
      <c r="D65" s="39">
        <v>1661.69</v>
      </c>
      <c r="E65" s="21">
        <v>7.1199999999999999E-2</v>
      </c>
      <c r="F65" s="20">
        <v>223002.87</v>
      </c>
      <c r="G65" s="46">
        <f t="shared" si="1"/>
        <v>16987.440000000002</v>
      </c>
      <c r="H65" s="22">
        <f t="shared" si="2"/>
        <v>0.89201147999999997</v>
      </c>
      <c r="I65" s="25">
        <f>'1 - Amortisation'!G36</f>
        <v>244557.70116120146</v>
      </c>
      <c r="J65" s="25">
        <f t="shared" si="3"/>
        <v>176.05338327836944</v>
      </c>
      <c r="K65" s="25">
        <f t="shared" si="4"/>
        <v>21554.831161201466</v>
      </c>
      <c r="M65" s="26">
        <f t="shared" si="5"/>
        <v>0.78663288579698987</v>
      </c>
      <c r="N65" s="1">
        <f>F64-F65</f>
        <v>1274.5500000000175</v>
      </c>
      <c r="O65" s="44">
        <f t="shared" si="0"/>
        <v>239990.31</v>
      </c>
    </row>
    <row r="66" spans="1:15" ht="15.75" thickBot="1" x14ac:dyDescent="0.3">
      <c r="A66" s="24">
        <v>40664</v>
      </c>
      <c r="B66" s="39">
        <v>1339.95</v>
      </c>
      <c r="C66" s="41">
        <f>400+312.5+312.5+625-144</f>
        <v>1506</v>
      </c>
      <c r="D66" s="39">
        <v>1661.69</v>
      </c>
      <c r="E66" s="21">
        <v>7.1199999999999999E-2</v>
      </c>
      <c r="F66" s="20">
        <v>221175.13</v>
      </c>
      <c r="G66" s="46">
        <f t="shared" si="1"/>
        <v>18493.440000000002</v>
      </c>
      <c r="H66" s="22">
        <f t="shared" si="2"/>
        <v>0.88470051999999999</v>
      </c>
      <c r="I66" s="25">
        <f>'1 - Amortisation'!G37</f>
        <v>244380.32737754853</v>
      </c>
      <c r="J66" s="25">
        <f t="shared" si="3"/>
        <v>177.37378365293262</v>
      </c>
      <c r="K66" s="25">
        <f t="shared" si="4"/>
        <v>23205.197377548524</v>
      </c>
      <c r="M66" s="26">
        <f t="shared" si="5"/>
        <v>0.80637784424290937</v>
      </c>
      <c r="N66" s="1">
        <f t="shared" si="6"/>
        <v>1827.7399999999907</v>
      </c>
      <c r="O66" s="44">
        <f t="shared" si="0"/>
        <v>239668.57</v>
      </c>
    </row>
    <row r="67" spans="1:15" ht="15.75" thickBot="1" x14ac:dyDescent="0.3">
      <c r="A67" s="24">
        <v>40695</v>
      </c>
      <c r="B67" s="39">
        <v>1287.45</v>
      </c>
      <c r="C67" s="41">
        <f>300+312.5+312.5+625</f>
        <v>1550</v>
      </c>
      <c r="D67" s="39">
        <v>1661.69</v>
      </c>
      <c r="E67" s="21">
        <v>7.1199999999999999E-2</v>
      </c>
      <c r="F67" s="28">
        <v>219250.89</v>
      </c>
      <c r="G67" s="46">
        <f t="shared" si="1"/>
        <v>20043.440000000002</v>
      </c>
      <c r="H67" s="22">
        <f t="shared" si="2"/>
        <v>0.87700356000000002</v>
      </c>
      <c r="I67" s="25">
        <f>'1 - Amortisation'!G38</f>
        <v>244201.62329051818</v>
      </c>
      <c r="J67" s="25">
        <f t="shared" si="3"/>
        <v>178.70408703034627</v>
      </c>
      <c r="K67" s="25">
        <f t="shared" si="4"/>
        <v>24950.733290518168</v>
      </c>
      <c r="M67" s="26">
        <f t="shared" si="5"/>
        <v>0.7747835035415751</v>
      </c>
      <c r="N67" s="1">
        <f t="shared" si="6"/>
        <v>1924.2399999999907</v>
      </c>
      <c r="O67" s="44">
        <f t="shared" si="0"/>
        <v>239294.33000000002</v>
      </c>
    </row>
    <row r="68" spans="1:15" x14ac:dyDescent="0.25">
      <c r="A68" s="24">
        <v>40725</v>
      </c>
      <c r="B68" s="39">
        <v>1321.87</v>
      </c>
      <c r="C68" s="41">
        <v>100</v>
      </c>
      <c r="D68" s="39">
        <v>1661.69</v>
      </c>
      <c r="E68" s="21">
        <v>7.1199999999999999E-2</v>
      </c>
      <c r="F68" s="20">
        <v>218811.07</v>
      </c>
      <c r="G68" s="46">
        <f t="shared" si="1"/>
        <v>20143.440000000002</v>
      </c>
      <c r="H68" s="22">
        <f t="shared" si="2"/>
        <v>0.87524427999999999</v>
      </c>
      <c r="I68" s="25">
        <f>'1 - Amortisation'!G39</f>
        <v>244021.57892283512</v>
      </c>
      <c r="J68" s="25">
        <f t="shared" si="3"/>
        <v>180.04436768306186</v>
      </c>
      <c r="K68" s="25">
        <f t="shared" si="4"/>
        <v>25210.508922835113</v>
      </c>
      <c r="M68" s="26">
        <f t="shared" si="5"/>
        <v>0.79549735510233544</v>
      </c>
      <c r="N68" s="1">
        <f t="shared" si="6"/>
        <v>439.82000000000698</v>
      </c>
      <c r="O68" s="44">
        <f t="shared" si="0"/>
        <v>238954.51</v>
      </c>
    </row>
    <row r="69" spans="1:15" x14ac:dyDescent="0.25">
      <c r="A69" s="24">
        <v>40756</v>
      </c>
      <c r="B69" s="39">
        <v>1317.47</v>
      </c>
      <c r="C69" s="41">
        <f>100+60</f>
        <v>160</v>
      </c>
      <c r="D69" s="39">
        <v>1661.69</v>
      </c>
      <c r="E69" s="21">
        <v>7.1199999999999999E-2</v>
      </c>
      <c r="F69" s="20">
        <v>218306.85</v>
      </c>
      <c r="G69" s="46">
        <f t="shared" si="1"/>
        <v>20303.440000000002</v>
      </c>
      <c r="H69" s="22">
        <f t="shared" si="2"/>
        <v>0.87322739999999999</v>
      </c>
      <c r="I69" s="25">
        <f>'1 - Amortisation'!G40</f>
        <v>243840.18422239443</v>
      </c>
      <c r="J69" s="25">
        <f t="shared" si="3"/>
        <v>181.39470044069458</v>
      </c>
      <c r="K69" s="25">
        <f t="shared" si="4"/>
        <v>25533.33422239442</v>
      </c>
      <c r="M69" s="26">
        <f t="shared" si="5"/>
        <v>0.79284944845308092</v>
      </c>
      <c r="N69" s="1">
        <f t="shared" si="6"/>
        <v>504.22000000000116</v>
      </c>
      <c r="O69" s="44">
        <f t="shared" si="0"/>
        <v>238610.29</v>
      </c>
    </row>
    <row r="70" spans="1:15" x14ac:dyDescent="0.25">
      <c r="A70" s="24">
        <v>40787</v>
      </c>
      <c r="B70" s="39">
        <v>1271.18</v>
      </c>
      <c r="C70" s="41">
        <f>100 + 322.5 + 312.5 + 635</f>
        <v>1370</v>
      </c>
      <c r="D70" s="39">
        <v>1661.69</v>
      </c>
      <c r="E70" s="21">
        <v>7.1199999999999999E-2</v>
      </c>
      <c r="F70" s="20">
        <v>216546.34</v>
      </c>
      <c r="G70" s="46">
        <f t="shared" si="1"/>
        <v>21673.440000000002</v>
      </c>
      <c r="H70" s="22">
        <f t="shared" si="2"/>
        <v>0.86618536000000002</v>
      </c>
      <c r="I70" s="25">
        <f>'1 - Amortisation'!G41</f>
        <v>243657.42906170042</v>
      </c>
      <c r="J70" s="25">
        <f t="shared" si="3"/>
        <v>182.75516069401056</v>
      </c>
      <c r="K70" s="25">
        <f t="shared" si="4"/>
        <v>27111.089061700419</v>
      </c>
      <c r="M70" s="26">
        <f t="shared" si="5"/>
        <v>0.76499226690899025</v>
      </c>
      <c r="N70" s="1">
        <f t="shared" si="6"/>
        <v>1760.5100000000093</v>
      </c>
      <c r="O70" s="44">
        <f t="shared" si="0"/>
        <v>238219.78</v>
      </c>
    </row>
    <row r="71" spans="1:15" x14ac:dyDescent="0.25">
      <c r="A71" s="24">
        <v>40817</v>
      </c>
      <c r="B71" s="39">
        <v>1302.25</v>
      </c>
      <c r="C71" s="41">
        <f>318 + 317 + 635</f>
        <v>1270</v>
      </c>
      <c r="D71" s="39">
        <v>1661.69</v>
      </c>
      <c r="E71" s="21">
        <v>7.1199999999999999E-2</v>
      </c>
      <c r="F71" s="20">
        <v>214916.9</v>
      </c>
      <c r="G71" s="46">
        <f t="shared" si="1"/>
        <v>22943.440000000002</v>
      </c>
      <c r="H71" s="22">
        <f t="shared" si="2"/>
        <v>0.85966759999999998</v>
      </c>
      <c r="I71" s="25">
        <f>'1 - Amortisation'!G42</f>
        <v>243473.30323730121</v>
      </c>
      <c r="J71" s="25">
        <f t="shared" si="3"/>
        <v>184.12582439920516</v>
      </c>
      <c r="K71" s="25">
        <f t="shared" si="4"/>
        <v>28556.403237301216</v>
      </c>
      <c r="M71" s="26">
        <f t="shared" si="5"/>
        <v>0.78369009863452266</v>
      </c>
      <c r="N71" s="1">
        <f t="shared" si="6"/>
        <v>1629.4400000000023</v>
      </c>
      <c r="O71" s="44">
        <f t="shared" si="0"/>
        <v>237860.34</v>
      </c>
    </row>
    <row r="72" spans="1:15" x14ac:dyDescent="0.25">
      <c r="A72" s="24">
        <v>40848</v>
      </c>
      <c r="B72" s="39">
        <v>1220.92</v>
      </c>
      <c r="C72" s="42">
        <f xml:space="preserve"> -1250 +318 + 317 + 635 - 153 + 317</f>
        <v>184</v>
      </c>
      <c r="D72" s="39">
        <v>1615.11</v>
      </c>
      <c r="E72" s="21">
        <v>6.8699999999999997E-2</v>
      </c>
      <c r="F72" s="20">
        <v>214288.71</v>
      </c>
      <c r="G72" s="46">
        <f t="shared" si="1"/>
        <v>23127.440000000002</v>
      </c>
      <c r="H72" s="22">
        <f t="shared" si="2"/>
        <v>0.85715483999999997</v>
      </c>
      <c r="I72" s="25">
        <f>'1 - Amortisation'!G43</f>
        <v>243287.796469219</v>
      </c>
      <c r="J72" s="25">
        <f t="shared" si="3"/>
        <v>185.50676808221033</v>
      </c>
      <c r="K72" s="25">
        <f t="shared" si="4"/>
        <v>28999.086469219008</v>
      </c>
      <c r="M72" s="26">
        <f t="shared" si="5"/>
        <v>0.75593612818941136</v>
      </c>
      <c r="N72" s="1">
        <f t="shared" si="6"/>
        <v>628.19000000000233</v>
      </c>
      <c r="O72" s="44">
        <f t="shared" si="0"/>
        <v>237416.15</v>
      </c>
    </row>
    <row r="73" spans="1:15" x14ac:dyDescent="0.25">
      <c r="A73" s="24">
        <v>40878</v>
      </c>
      <c r="B73" s="39">
        <v>1218.1400000000001</v>
      </c>
      <c r="C73" s="41">
        <f>318+635 - 468</f>
        <v>485</v>
      </c>
      <c r="D73" s="39">
        <v>1576.25</v>
      </c>
      <c r="E73" s="21">
        <v>6.6199999999999995E-2</v>
      </c>
      <c r="F73" s="27">
        <v>213445.6</v>
      </c>
      <c r="G73" s="46">
        <f t="shared" si="1"/>
        <v>23612.440000000002</v>
      </c>
      <c r="H73" s="22">
        <f t="shared" si="2"/>
        <v>0.85378240000000005</v>
      </c>
      <c r="I73" s="25">
        <f>'1 - Amortisation'!G44</f>
        <v>243100.89840037617</v>
      </c>
      <c r="J73" s="25">
        <f t="shared" si="3"/>
        <v>186.89806884282734</v>
      </c>
      <c r="K73" s="25">
        <f t="shared" si="4"/>
        <v>29655.298400376167</v>
      </c>
      <c r="M73" s="26">
        <f t="shared" si="5"/>
        <v>0.77280888183980978</v>
      </c>
      <c r="N73" s="1">
        <f t="shared" si="6"/>
        <v>843.10999999998603</v>
      </c>
      <c r="O73" s="44">
        <f t="shared" si="0"/>
        <v>237058.04</v>
      </c>
    </row>
    <row r="74" spans="1:15" x14ac:dyDescent="0.25">
      <c r="A74" s="24">
        <v>40909</v>
      </c>
      <c r="B74" s="39">
        <v>1193.81</v>
      </c>
      <c r="C74" s="41">
        <f>575+575 - 395.85</f>
        <v>754.15</v>
      </c>
      <c r="D74" s="39">
        <v>1576.25</v>
      </c>
      <c r="E74" s="21">
        <v>6.6199999999999995E-2</v>
      </c>
      <c r="F74" s="27">
        <v>212309.01</v>
      </c>
      <c r="G74" s="46">
        <f t="shared" si="1"/>
        <v>24366.590000000004</v>
      </c>
      <c r="H74" s="22">
        <f t="shared" si="2"/>
        <v>0.84923604000000008</v>
      </c>
      <c r="I74" s="25">
        <f>'1 - Amortisation'!G45</f>
        <v>242912.59859601705</v>
      </c>
      <c r="J74" s="25">
        <f t="shared" si="3"/>
        <v>188.29980435912148</v>
      </c>
      <c r="K74" s="25">
        <f t="shared" si="4"/>
        <v>30603.588596017042</v>
      </c>
      <c r="M74" s="26">
        <f t="shared" si="5"/>
        <v>0.75737351308485323</v>
      </c>
      <c r="N74" s="1">
        <f t="shared" si="6"/>
        <v>1136.5899999999965</v>
      </c>
      <c r="O74" s="44">
        <f t="shared" si="0"/>
        <v>236675.6</v>
      </c>
    </row>
    <row r="75" spans="1:15" x14ac:dyDescent="0.25">
      <c r="A75" s="24">
        <v>40940</v>
      </c>
      <c r="B75" s="39">
        <v>1123.07</v>
      </c>
      <c r="C75" s="41">
        <f>-123.4 -404.29 + 575 + 575 - 153</f>
        <v>469.30999999999995</v>
      </c>
      <c r="D75" s="39">
        <v>1576.25</v>
      </c>
      <c r="E75" s="21">
        <v>6.7199999999999996E-2</v>
      </c>
      <c r="F75" s="27">
        <v>211386.52</v>
      </c>
      <c r="G75" s="46">
        <f t="shared" si="1"/>
        <v>24835.900000000005</v>
      </c>
      <c r="H75" s="22">
        <f t="shared" si="2"/>
        <v>0.84554607999999998</v>
      </c>
      <c r="I75" s="25">
        <f>'1 - Amortisation'!G46</f>
        <v>242722.88654312523</v>
      </c>
      <c r="J75" s="25">
        <f t="shared" si="3"/>
        <v>189.71205289181671</v>
      </c>
      <c r="K75" s="25">
        <f t="shared" si="4"/>
        <v>31336.366543125245</v>
      </c>
      <c r="M75" s="26">
        <f t="shared" si="5"/>
        <v>0.71249484536082475</v>
      </c>
      <c r="N75" s="1">
        <f t="shared" si="6"/>
        <v>922.49000000001979</v>
      </c>
      <c r="O75" s="44">
        <f t="shared" si="0"/>
        <v>236222.41999999998</v>
      </c>
    </row>
    <row r="76" spans="1:15" x14ac:dyDescent="0.25">
      <c r="A76" s="24">
        <v>40969</v>
      </c>
      <c r="B76" s="39">
        <v>1203.01</v>
      </c>
      <c r="C76" s="41">
        <f>575+300-1000 + 275</f>
        <v>150</v>
      </c>
      <c r="D76" s="39">
        <v>1576.25</v>
      </c>
      <c r="E76" s="21">
        <v>6.7199999999999996E-2</v>
      </c>
      <c r="F76" s="27">
        <v>210863.28</v>
      </c>
      <c r="G76" s="46">
        <f t="shared" si="1"/>
        <v>24985.900000000005</v>
      </c>
      <c r="H76" s="22">
        <f t="shared" si="2"/>
        <v>0.84345311999999995</v>
      </c>
      <c r="I76" s="25">
        <f>'1 - Amortisation'!G47</f>
        <v>242531.75164983672</v>
      </c>
      <c r="J76" s="25">
        <f t="shared" si="3"/>
        <v>191.13489328851574</v>
      </c>
      <c r="K76" s="25">
        <f t="shared" si="4"/>
        <v>31668.47164983672</v>
      </c>
      <c r="M76" s="26">
        <f t="shared" si="5"/>
        <v>0.76321015067406817</v>
      </c>
      <c r="N76" s="1">
        <f t="shared" si="6"/>
        <v>523.23999999999069</v>
      </c>
      <c r="O76" s="44">
        <f t="shared" si="0"/>
        <v>235849.18</v>
      </c>
    </row>
    <row r="77" spans="1:15" x14ac:dyDescent="0.25">
      <c r="A77" s="24">
        <v>41000</v>
      </c>
      <c r="B77" s="39">
        <v>1163.4000000000001</v>
      </c>
      <c r="C77" s="41">
        <f>287.5+287.5 - 900 + 400 + 175 -4000</f>
        <v>-3750</v>
      </c>
      <c r="D77" s="39">
        <v>1590.01</v>
      </c>
      <c r="E77" s="21">
        <v>6.7199999999999996E-2</v>
      </c>
      <c r="F77" s="27">
        <v>214186.67</v>
      </c>
      <c r="G77" s="46">
        <f t="shared" si="1"/>
        <v>21235.900000000005</v>
      </c>
      <c r="H77" s="22">
        <f t="shared" si="2"/>
        <v>0.85674668000000009</v>
      </c>
      <c r="I77" s="25">
        <f>'1 - Amortisation'!G48</f>
        <v>242339.18324484854</v>
      </c>
      <c r="J77" s="25">
        <f t="shared" si="3"/>
        <v>192.56840498818201</v>
      </c>
      <c r="K77" s="25">
        <f t="shared" si="4"/>
        <v>28152.513244848524</v>
      </c>
      <c r="M77" s="26">
        <f t="shared" si="5"/>
        <v>0.7316935113615638</v>
      </c>
      <c r="N77" s="32">
        <f>F76-F77</f>
        <v>-3323.390000000014</v>
      </c>
      <c r="O77" s="44">
        <f t="shared" si="0"/>
        <v>235422.57</v>
      </c>
    </row>
    <row r="78" spans="1:15" ht="15.75" thickBot="1" x14ac:dyDescent="0.3">
      <c r="A78" s="24">
        <v>41030</v>
      </c>
      <c r="B78" s="39">
        <v>1171.8</v>
      </c>
      <c r="C78" s="39">
        <f>287.5+1700 +288 + 575 - 153</f>
        <v>2697.5</v>
      </c>
      <c r="D78" s="39">
        <v>1542.34</v>
      </c>
      <c r="E78" s="21">
        <v>6.4199999999999993E-2</v>
      </c>
      <c r="F78" s="27">
        <v>211118.63</v>
      </c>
      <c r="G78" s="46">
        <f t="shared" si="1"/>
        <v>23933.400000000005</v>
      </c>
      <c r="H78" s="22">
        <f t="shared" si="2"/>
        <v>0.84447452000000001</v>
      </c>
      <c r="I78" s="25">
        <f>'1 - Amortisation'!G49</f>
        <v>242145.17057682294</v>
      </c>
      <c r="J78" s="25">
        <f t="shared" si="3"/>
        <v>194.01266802559257</v>
      </c>
      <c r="K78" s="25">
        <f t="shared" si="4"/>
        <v>31026.540576822939</v>
      </c>
      <c r="M78" s="26">
        <f t="shared" si="5"/>
        <v>0.75975465850590662</v>
      </c>
      <c r="N78" s="1">
        <f t="shared" si="6"/>
        <v>3068.0400000000081</v>
      </c>
      <c r="O78" s="44">
        <f t="shared" si="0"/>
        <v>235052.03</v>
      </c>
    </row>
    <row r="79" spans="1:15" ht="15.75" thickBot="1" x14ac:dyDescent="0.3">
      <c r="A79" s="24">
        <v>41061</v>
      </c>
      <c r="B79" s="39">
        <v>1090.92</v>
      </c>
      <c r="C79" s="39">
        <f xml:space="preserve"> 100 + 575 + 150 + 288 - 312.5</f>
        <v>800.5</v>
      </c>
      <c r="D79" s="39">
        <v>1512.45</v>
      </c>
      <c r="E79" s="21">
        <v>6.2199999999999998E-2</v>
      </c>
      <c r="F79" s="30">
        <v>209896.6</v>
      </c>
      <c r="G79" s="46">
        <f t="shared" si="1"/>
        <v>24733.900000000005</v>
      </c>
      <c r="H79" s="22">
        <f t="shared" si="2"/>
        <v>0.83958640000000007</v>
      </c>
      <c r="I79" s="25">
        <f>'1 - Amortisation'!G50</f>
        <v>241949.70281378715</v>
      </c>
      <c r="J79" s="25">
        <f t="shared" si="3"/>
        <v>195.46776303579099</v>
      </c>
      <c r="K79" s="25">
        <f t="shared" si="4"/>
        <v>32053.102813787147</v>
      </c>
      <c r="M79" s="26">
        <f t="shared" si="5"/>
        <v>0.7212932658930874</v>
      </c>
      <c r="N79" s="1">
        <f t="shared" si="6"/>
        <v>1222.0299999999988</v>
      </c>
      <c r="O79" s="44">
        <f t="shared" si="0"/>
        <v>234630.5</v>
      </c>
    </row>
    <row r="80" spans="1:15" x14ac:dyDescent="0.25">
      <c r="A80" s="24">
        <v>41091</v>
      </c>
      <c r="B80" s="39">
        <v>1103.32</v>
      </c>
      <c r="C80" s="39">
        <f>50+288+288+575</f>
        <v>1201</v>
      </c>
      <c r="D80" s="39">
        <v>1512.45</v>
      </c>
      <c r="E80" s="21">
        <v>6.2199999999999998E-2</v>
      </c>
      <c r="F80" s="31">
        <v>208286.47</v>
      </c>
      <c r="G80" s="46">
        <f t="shared" si="1"/>
        <v>25934.900000000005</v>
      </c>
      <c r="H80" s="22">
        <f t="shared" si="2"/>
        <v>0.83314588000000001</v>
      </c>
      <c r="I80" s="25">
        <f>'1 - Amortisation'!G51</f>
        <v>241752.76904252861</v>
      </c>
      <c r="J80" s="25">
        <f t="shared" si="3"/>
        <v>196.93377125854022</v>
      </c>
      <c r="K80" s="25">
        <f t="shared" si="4"/>
        <v>33466.299042528612</v>
      </c>
      <c r="M80" s="26">
        <f t="shared" si="5"/>
        <v>0.72949188402922405</v>
      </c>
      <c r="N80" s="1">
        <f t="shared" si="6"/>
        <v>1610.1300000000047</v>
      </c>
      <c r="O80" s="44">
        <f t="shared" si="0"/>
        <v>234221.37</v>
      </c>
    </row>
    <row r="81" spans="1:15" ht="15.75" thickBot="1" x14ac:dyDescent="0.3">
      <c r="A81" s="24">
        <v>41122</v>
      </c>
      <c r="B81" s="39">
        <v>1085.42</v>
      </c>
      <c r="C81" s="39">
        <f>-500 +288+287+575 +6000</f>
        <v>6650</v>
      </c>
      <c r="D81" s="39">
        <v>1512.45</v>
      </c>
      <c r="E81" s="21">
        <v>6.2199999999999998E-2</v>
      </c>
      <c r="F81" s="31">
        <v>201209.44</v>
      </c>
      <c r="G81" s="46">
        <f t="shared" si="1"/>
        <v>32584.900000000005</v>
      </c>
      <c r="H81" s="22">
        <f t="shared" si="2"/>
        <v>0.80483775999999996</v>
      </c>
      <c r="I81" s="25">
        <f>'1 - Amortisation'!G52</f>
        <v>241554.35826798563</v>
      </c>
      <c r="J81" s="25">
        <f t="shared" si="3"/>
        <v>198.4107745429792</v>
      </c>
      <c r="K81" s="25">
        <f t="shared" si="4"/>
        <v>40344.918267985631</v>
      </c>
      <c r="M81" s="26">
        <f t="shared" si="5"/>
        <v>0.71765678204238159</v>
      </c>
      <c r="N81" s="1">
        <f t="shared" si="6"/>
        <v>7077.0299999999988</v>
      </c>
      <c r="O81" s="44">
        <f t="shared" si="0"/>
        <v>233794.34</v>
      </c>
    </row>
    <row r="82" spans="1:15" ht="15.75" thickBot="1" x14ac:dyDescent="0.3">
      <c r="A82" s="24">
        <v>41153</v>
      </c>
      <c r="B82" s="39">
        <v>997.27</v>
      </c>
      <c r="C82" s="39">
        <f>4500  - 312.5 -641.2 + 288 + 3000 + 288 + 575</f>
        <v>7697.3</v>
      </c>
      <c r="D82" s="39">
        <v>1512.45</v>
      </c>
      <c r="E82" s="21">
        <v>6.2199999999999998E-2</v>
      </c>
      <c r="F82" s="30">
        <v>192996.96</v>
      </c>
      <c r="G82" s="46">
        <f t="shared" si="1"/>
        <v>40282.200000000004</v>
      </c>
      <c r="H82" s="22">
        <f t="shared" si="2"/>
        <v>0.77198783999999998</v>
      </c>
      <c r="I82" s="25">
        <f>'1 - Amortisation'!G53</f>
        <v>241354.45941263356</v>
      </c>
      <c r="J82" s="25">
        <f t="shared" si="3"/>
        <v>199.89885535207577</v>
      </c>
      <c r="K82" s="25">
        <f t="shared" si="4"/>
        <v>48357.499412633566</v>
      </c>
      <c r="M82" s="26">
        <f t="shared" si="5"/>
        <v>0.65937386359879657</v>
      </c>
      <c r="N82" s="1">
        <f t="shared" si="6"/>
        <v>8212.4800000000105</v>
      </c>
      <c r="O82" s="44">
        <f t="shared" si="0"/>
        <v>233279.16</v>
      </c>
    </row>
    <row r="83" spans="1:15" x14ac:dyDescent="0.25">
      <c r="A83" s="24">
        <v>41183</v>
      </c>
      <c r="B83" s="39">
        <v>1004.05</v>
      </c>
      <c r="C83" s="39">
        <f>288 - 4000 + 300 + 287 +275 - 1600</f>
        <v>-4450</v>
      </c>
      <c r="D83" s="39">
        <v>1472.87</v>
      </c>
      <c r="E83" s="21">
        <v>5.9700000000000003E-2</v>
      </c>
      <c r="F83" s="31">
        <v>196978.14</v>
      </c>
      <c r="G83" s="46">
        <f t="shared" si="1"/>
        <v>35832.200000000004</v>
      </c>
      <c r="H83" s="22">
        <f t="shared" si="2"/>
        <v>0.7879125600000001</v>
      </c>
      <c r="I83" s="25">
        <f>'1 - Amortisation'!G54</f>
        <v>241153.06131586636</v>
      </c>
      <c r="J83" s="25">
        <f t="shared" si="3"/>
        <v>201.39809676719597</v>
      </c>
      <c r="K83" s="25">
        <f t="shared" si="4"/>
        <v>44174.921315866348</v>
      </c>
      <c r="M83" s="26">
        <f t="shared" si="5"/>
        <v>0.68169628005187155</v>
      </c>
      <c r="N83" s="32">
        <f t="shared" si="6"/>
        <v>-3981.1800000000221</v>
      </c>
      <c r="O83" s="44">
        <f t="shared" si="0"/>
        <v>232810.34000000003</v>
      </c>
    </row>
    <row r="84" spans="1:15" x14ac:dyDescent="0.25">
      <c r="A84" s="24">
        <v>41214</v>
      </c>
      <c r="B84" s="39">
        <v>966.1</v>
      </c>
      <c r="C84" s="39">
        <f>-1500+288 + 287 + 575</f>
        <v>-350</v>
      </c>
      <c r="D84" s="39">
        <v>1472.87</v>
      </c>
      <c r="E84" s="21">
        <v>5.9700000000000003E-2</v>
      </c>
      <c r="F84" s="31">
        <v>196821.37</v>
      </c>
      <c r="G84" s="46">
        <f t="shared" si="1"/>
        <v>35482.200000000004</v>
      </c>
      <c r="H84" s="22">
        <f t="shared" si="2"/>
        <v>0.78728547999999998</v>
      </c>
      <c r="I84" s="25">
        <f>'1 - Amortisation'!G55</f>
        <v>240950.1527333734</v>
      </c>
      <c r="J84" s="25">
        <f t="shared" si="3"/>
        <v>202.90858249296434</v>
      </c>
      <c r="K84" s="25">
        <f t="shared" si="4"/>
        <v>44128.782733373402</v>
      </c>
      <c r="M84" s="26">
        <f t="shared" si="5"/>
        <v>0.65593025861073961</v>
      </c>
      <c r="N84" s="1">
        <f t="shared" si="6"/>
        <v>156.77000000001863</v>
      </c>
      <c r="O84" s="44">
        <f t="shared" si="0"/>
        <v>232303.57</v>
      </c>
    </row>
    <row r="85" spans="1:15" x14ac:dyDescent="0.25">
      <c r="A85" s="24">
        <v>41244</v>
      </c>
      <c r="B85" s="39">
        <v>983.2</v>
      </c>
      <c r="C85" s="41">
        <f>143.75-395.85+288-1500+287.5+2000+287+143.75</f>
        <v>1254.1500000000001</v>
      </c>
      <c r="D85" s="39">
        <v>1472.87</v>
      </c>
      <c r="E85" s="21">
        <v>5.7200000000000001E-2</v>
      </c>
      <c r="F85" s="31">
        <v>195077.55</v>
      </c>
      <c r="G85" s="46">
        <f t="shared" si="1"/>
        <v>36736.350000000006</v>
      </c>
      <c r="H85" s="22">
        <f t="shared" si="2"/>
        <v>0.78031019999999995</v>
      </c>
      <c r="I85" s="25">
        <f>'1 - Amortisation'!G56</f>
        <v>240745.72233651174</v>
      </c>
      <c r="J85" s="25">
        <f t="shared" si="3"/>
        <v>204.43039686165866</v>
      </c>
      <c r="K85" s="25">
        <f t="shared" si="4"/>
        <v>45668.17233651175</v>
      </c>
      <c r="M85" s="26">
        <f t="shared" si="5"/>
        <v>0.66754024455654615</v>
      </c>
      <c r="N85" s="1">
        <f t="shared" si="6"/>
        <v>1743.820000000007</v>
      </c>
      <c r="O85" s="44">
        <f t="shared" si="0"/>
        <v>231813.9</v>
      </c>
    </row>
    <row r="86" spans="1:15" x14ac:dyDescent="0.25">
      <c r="A86" s="24">
        <v>41275</v>
      </c>
      <c r="B86" s="39">
        <v>945.09</v>
      </c>
      <c r="C86" s="41">
        <f>143.75+288+143.75 + 50 -1475 + 287 + 143.75</f>
        <v>-418.75</v>
      </c>
      <c r="D86" s="39">
        <v>1435.41</v>
      </c>
      <c r="E86" s="21">
        <v>5.7200000000000001E-2</v>
      </c>
      <c r="F86" s="31">
        <v>194574.23</v>
      </c>
      <c r="G86" s="46">
        <f t="shared" si="1"/>
        <v>36317.600000000006</v>
      </c>
      <c r="H86" s="22">
        <f t="shared" si="2"/>
        <v>0.77829692000000006</v>
      </c>
      <c r="I86" s="25">
        <f>'1 - Amortisation'!G57</f>
        <v>240539.75871167361</v>
      </c>
      <c r="J86" s="25">
        <f t="shared" si="3"/>
        <v>205.96362483812845</v>
      </c>
      <c r="K86" s="25">
        <f t="shared" si="4"/>
        <v>45965.5287116736</v>
      </c>
      <c r="M86" s="26">
        <f t="shared" si="5"/>
        <v>0.65841118565427303</v>
      </c>
      <c r="N86" s="1">
        <f>IF(F86&gt;0,F85-F86,0)</f>
        <v>503.31999999997788</v>
      </c>
      <c r="O86" s="44">
        <f t="shared" si="0"/>
        <v>230891.83000000002</v>
      </c>
    </row>
    <row r="87" spans="1:15" x14ac:dyDescent="0.25">
      <c r="A87" s="24">
        <v>41306</v>
      </c>
      <c r="B87" s="39">
        <v>852.18</v>
      </c>
      <c r="C87" s="41">
        <f>288 + 143.75+143.75+288-1425+143.75+143.75+575</f>
        <v>301</v>
      </c>
      <c r="D87" s="39">
        <v>1435.41</v>
      </c>
      <c r="E87" s="21">
        <v>5.7200000000000001E-2</v>
      </c>
      <c r="F87" s="31">
        <v>193978</v>
      </c>
      <c r="G87" s="46">
        <f t="shared" si="1"/>
        <v>36618.600000000006</v>
      </c>
      <c r="H87" s="22">
        <f t="shared" si="2"/>
        <v>0.77591200000000005</v>
      </c>
      <c r="I87" s="25">
        <f>'1 - Amortisation'!G58</f>
        <v>240332.25035964922</v>
      </c>
      <c r="J87" s="25">
        <f t="shared" si="3"/>
        <v>207.50835202439339</v>
      </c>
      <c r="K87" s="25">
        <f t="shared" si="4"/>
        <v>46354.250359649217</v>
      </c>
      <c r="M87" s="26">
        <f t="shared" si="5"/>
        <v>0.59368403452672047</v>
      </c>
      <c r="N87" s="1">
        <f>IF(F87&gt;0,F86-F87,0)</f>
        <v>596.23000000001048</v>
      </c>
      <c r="O87" s="44">
        <f t="shared" si="0"/>
        <v>230596.6</v>
      </c>
    </row>
    <row r="88" spans="1:15" x14ac:dyDescent="0.25">
      <c r="A88" s="24">
        <v>41334</v>
      </c>
      <c r="B88" s="39">
        <v>947.83</v>
      </c>
      <c r="C88" s="41">
        <f>-1150 + 143.75-395.85+143.75-1450+143.75+143.75+288-500</f>
        <v>-2632.85</v>
      </c>
      <c r="D88" s="39">
        <v>1435.41</v>
      </c>
      <c r="E88" s="21">
        <v>5.7200000000000001E-2</v>
      </c>
      <c r="F88" s="31">
        <v>196123.27</v>
      </c>
      <c r="G88" s="46">
        <f t="shared" si="1"/>
        <v>33985.750000000007</v>
      </c>
      <c r="H88" s="22">
        <f t="shared" si="2"/>
        <v>0.78449307999999995</v>
      </c>
      <c r="I88" s="25">
        <f>'1 - Amortisation'!G59</f>
        <v>240123.18569498463</v>
      </c>
      <c r="J88" s="25">
        <f t="shared" si="3"/>
        <v>209.06466466459096</v>
      </c>
      <c r="K88" s="25">
        <f t="shared" si="4"/>
        <v>43999.915694984637</v>
      </c>
      <c r="M88" s="26">
        <f t="shared" si="5"/>
        <v>0.66032004793055643</v>
      </c>
      <c r="N88" s="32">
        <f t="shared" ref="N88:N151" si="7">IF(F88&gt;0,F87-F88,0)</f>
        <v>-2145.2699999999895</v>
      </c>
      <c r="O88" s="44">
        <f t="shared" si="0"/>
        <v>230109.02</v>
      </c>
    </row>
    <row r="89" spans="1:15" x14ac:dyDescent="0.25">
      <c r="A89" s="24">
        <v>41365</v>
      </c>
      <c r="B89" s="39">
        <v>922.83</v>
      </c>
      <c r="C89" s="41">
        <f>143.75+143.75+143.75-900-1450</f>
        <v>-1918.75</v>
      </c>
      <c r="D89" s="39">
        <v>1435.41</v>
      </c>
      <c r="E89" s="21">
        <v>5.7200000000000001E-2</v>
      </c>
      <c r="F89" s="31">
        <v>196953.95</v>
      </c>
      <c r="G89" s="46">
        <f t="shared" si="1"/>
        <v>32067.000000000007</v>
      </c>
      <c r="H89" s="22">
        <f t="shared" si="2"/>
        <v>0.78781580000000007</v>
      </c>
      <c r="I89" s="25">
        <f>'1 - Amortisation'!G60</f>
        <v>239912.55304533505</v>
      </c>
      <c r="J89" s="25">
        <f t="shared" si="3"/>
        <v>210.63264964957489</v>
      </c>
      <c r="K89" s="25">
        <f t="shared" si="4"/>
        <v>42958.603045335039</v>
      </c>
      <c r="M89" s="26">
        <f t="shared" si="5"/>
        <v>0.64290342132213096</v>
      </c>
      <c r="N89" s="32">
        <f t="shared" si="7"/>
        <v>-830.68000000002212</v>
      </c>
      <c r="O89" s="44">
        <f t="shared" si="0"/>
        <v>229020.95</v>
      </c>
    </row>
    <row r="90" spans="1:15" x14ac:dyDescent="0.25">
      <c r="A90" s="24">
        <v>41395</v>
      </c>
      <c r="B90" s="39">
        <v>934.63</v>
      </c>
      <c r="C90" s="41">
        <f>143.75+143.75+288+143.75-1400+143.75+288</f>
        <v>-249</v>
      </c>
      <c r="D90" s="39">
        <v>1395.79</v>
      </c>
      <c r="E90" s="21">
        <v>5.4699999999999999E-2</v>
      </c>
      <c r="F90" s="31">
        <v>196885.54</v>
      </c>
      <c r="G90" s="46">
        <f t="shared" si="1"/>
        <v>31818.000000000007</v>
      </c>
      <c r="H90" s="22">
        <f t="shared" si="2"/>
        <v>0.78754215999999999</v>
      </c>
      <c r="I90" s="25">
        <f>'1 - Amortisation'!G61</f>
        <v>239700.3406508131</v>
      </c>
      <c r="J90" s="25">
        <f t="shared" si="3"/>
        <v>212.21239452195005</v>
      </c>
      <c r="K90" s="25">
        <f t="shared" si="4"/>
        <v>42814.800650813093</v>
      </c>
      <c r="M90" s="26">
        <f t="shared" si="5"/>
        <v>0.66960645942441199</v>
      </c>
      <c r="N90" s="1">
        <f t="shared" si="7"/>
        <v>68.410000000003492</v>
      </c>
      <c r="O90" s="44">
        <f t="shared" si="0"/>
        <v>228703.54</v>
      </c>
    </row>
    <row r="91" spans="1:15" x14ac:dyDescent="0.25">
      <c r="A91" s="24">
        <v>41426</v>
      </c>
      <c r="B91" s="39">
        <v>882.84</v>
      </c>
      <c r="C91" s="41">
        <f>143.75+288+143.75-1400+287+143.75 + 143.75</f>
        <v>-250</v>
      </c>
      <c r="D91" s="39">
        <v>1395.76</v>
      </c>
      <c r="E91" s="21">
        <v>5.4699999999999999E-2</v>
      </c>
      <c r="F91" s="27">
        <v>196622.59</v>
      </c>
      <c r="G91" s="46">
        <f t="shared" si="1"/>
        <v>31568.000000000007</v>
      </c>
      <c r="H91" s="22">
        <f t="shared" si="2"/>
        <v>0.78649035999999994</v>
      </c>
      <c r="I91" s="25">
        <f>'1 - Amortisation'!G62</f>
        <v>239486.53666333226</v>
      </c>
      <c r="J91" s="25">
        <f t="shared" si="3"/>
        <v>213.80398748084554</v>
      </c>
      <c r="K91" s="25">
        <f t="shared" si="4"/>
        <v>42863.946663332259</v>
      </c>
      <c r="M91" s="26">
        <f t="shared" si="5"/>
        <v>0.63251561873101392</v>
      </c>
      <c r="N91" s="1">
        <f t="shared" si="7"/>
        <v>262.95000000001164</v>
      </c>
      <c r="O91" s="44">
        <f t="shared" si="0"/>
        <v>228190.59</v>
      </c>
    </row>
    <row r="92" spans="1:15" ht="15.75" thickBot="1" x14ac:dyDescent="0.3">
      <c r="A92" s="24">
        <v>41456</v>
      </c>
      <c r="B92" s="39">
        <v>910.47</v>
      </c>
      <c r="C92" s="41">
        <f>143.75+143.75+143.75+288-1400+652.52+143.75+200 + 288</f>
        <v>603.52</v>
      </c>
      <c r="D92" s="39">
        <v>1395.79</v>
      </c>
      <c r="E92" s="21">
        <v>5.4699999999999999E-2</v>
      </c>
      <c r="F92" s="27">
        <v>195533.75</v>
      </c>
      <c r="G92" s="46">
        <f t="shared" si="1"/>
        <v>32171.520000000008</v>
      </c>
      <c r="H92" s="22">
        <f t="shared" si="2"/>
        <v>0.78213500000000002</v>
      </c>
      <c r="I92" s="25">
        <f>'1 - Amortisation'!G63</f>
        <v>239271.12914594528</v>
      </c>
      <c r="J92" s="25">
        <f t="shared" si="3"/>
        <v>215.40751738697872</v>
      </c>
      <c r="K92" s="25">
        <f t="shared" si="4"/>
        <v>43737.379145945277</v>
      </c>
      <c r="M92" s="26">
        <f t="shared" si="5"/>
        <v>0.65229726534793919</v>
      </c>
      <c r="N92" s="1">
        <f t="shared" si="7"/>
        <v>1088.8399999999965</v>
      </c>
      <c r="O92" s="44">
        <f t="shared" ref="O92:O97" si="8">F92+G92</f>
        <v>227705.27000000002</v>
      </c>
    </row>
    <row r="93" spans="1:15" ht="15.75" thickBot="1" x14ac:dyDescent="0.3">
      <c r="A93" s="24">
        <v>41487</v>
      </c>
      <c r="B93" s="39">
        <v>797.41</v>
      </c>
      <c r="C93" s="41">
        <f>143.75 + 143.75 + 288 - 1400</f>
        <v>-824.5</v>
      </c>
      <c r="D93" s="39">
        <v>1395.79</v>
      </c>
      <c r="E93" s="21">
        <v>5.4699999999999999E-2</v>
      </c>
      <c r="F93" s="33">
        <v>142256.56</v>
      </c>
      <c r="G93" s="46">
        <f>G92+C93 + 45003.13 + 8237.76</f>
        <v>84587.91</v>
      </c>
      <c r="H93" s="22">
        <f t="shared" si="2"/>
        <v>0.56902624000000002</v>
      </c>
      <c r="I93" s="25">
        <f>'1 - Amortisation'!G64</f>
        <v>239054.10607217791</v>
      </c>
      <c r="J93" s="25">
        <f t="shared" si="3"/>
        <v>217.02307376737008</v>
      </c>
      <c r="K93" s="25">
        <f t="shared" si="4"/>
        <v>96797.546072177909</v>
      </c>
      <c r="M93" s="26">
        <f t="shared" si="5"/>
        <v>0.57129654174338551</v>
      </c>
      <c r="N93" s="1">
        <f t="shared" si="7"/>
        <v>53277.19</v>
      </c>
      <c r="O93" s="44">
        <f t="shared" si="8"/>
        <v>226844.47</v>
      </c>
    </row>
    <row r="94" spans="1:15" ht="15.75" thickBot="1" x14ac:dyDescent="0.3">
      <c r="A94" s="24">
        <v>41518</v>
      </c>
      <c r="B94" s="39">
        <v>604.14</v>
      </c>
      <c r="C94" s="41">
        <f xml:space="preserve"> 245 -792.8 + 420 - 1400 +3792</f>
        <v>2264.1999999999998</v>
      </c>
      <c r="D94" s="39">
        <v>1359.73</v>
      </c>
      <c r="E94" s="21">
        <v>5.2200000000000003E-2</v>
      </c>
      <c r="F94" s="33">
        <v>139236.76999999999</v>
      </c>
      <c r="G94" s="46">
        <f t="shared" si="1"/>
        <v>86852.11</v>
      </c>
      <c r="H94" s="22">
        <f t="shared" si="2"/>
        <v>0.55694707999999993</v>
      </c>
      <c r="I94" s="25">
        <f>'1 - Amortisation'!G65</f>
        <v>238835.4553253573</v>
      </c>
      <c r="J94" s="25">
        <f t="shared" si="3"/>
        <v>218.65074682061095</v>
      </c>
      <c r="K94" s="25">
        <f t="shared" si="4"/>
        <v>99598.685325357306</v>
      </c>
      <c r="M94" s="26">
        <f t="shared" si="5"/>
        <v>0.44430879659932487</v>
      </c>
      <c r="N94" s="1">
        <f t="shared" si="7"/>
        <v>3019.7900000000081</v>
      </c>
      <c r="O94" s="44">
        <f t="shared" si="8"/>
        <v>226088.88</v>
      </c>
    </row>
    <row r="95" spans="1:15" x14ac:dyDescent="0.25">
      <c r="A95" s="24">
        <v>41548</v>
      </c>
      <c r="B95" s="39">
        <v>615.83000000000004</v>
      </c>
      <c r="C95" s="41">
        <f>220-1400+932.07+100+1160.31</f>
        <v>1012.38</v>
      </c>
      <c r="D95" s="39">
        <v>1359.73</v>
      </c>
      <c r="E95" s="21">
        <v>5.2200000000000003E-2</v>
      </c>
      <c r="F95" s="27">
        <v>137480.49</v>
      </c>
      <c r="G95" s="46">
        <f t="shared" si="1"/>
        <v>87864.49</v>
      </c>
      <c r="H95" s="22">
        <f t="shared" si="2"/>
        <v>0.54992195999999993</v>
      </c>
      <c r="I95" s="25">
        <f>'1 - Amortisation'!G66</f>
        <v>238615.16469793551</v>
      </c>
      <c r="J95" s="25">
        <f t="shared" si="3"/>
        <v>220.29062742178212</v>
      </c>
      <c r="K95" s="25">
        <f t="shared" si="4"/>
        <v>101134.67469793552</v>
      </c>
      <c r="M95" s="26">
        <f t="shared" si="5"/>
        <v>0.45290609165054829</v>
      </c>
      <c r="N95" s="1">
        <f t="shared" si="7"/>
        <v>1756.2799999999988</v>
      </c>
      <c r="O95" s="44">
        <f t="shared" si="8"/>
        <v>225344.97999999998</v>
      </c>
    </row>
    <row r="96" spans="1:15" x14ac:dyDescent="0.25">
      <c r="A96" s="24">
        <v>41579</v>
      </c>
      <c r="B96" s="39">
        <v>587.91</v>
      </c>
      <c r="C96" s="41">
        <f>1160.31</f>
        <v>1160.31</v>
      </c>
      <c r="D96" s="39">
        <v>1359.73</v>
      </c>
      <c r="E96" s="21">
        <v>5.2200000000000003E-2</v>
      </c>
      <c r="F96" s="27">
        <v>136708.67000000001</v>
      </c>
      <c r="G96" s="46">
        <f t="shared" si="1"/>
        <v>89024.8</v>
      </c>
      <c r="H96" s="22">
        <f t="shared" si="2"/>
        <v>0.54683468000000002</v>
      </c>
      <c r="I96" s="25">
        <f>'1 - Amortisation'!G67</f>
        <v>238393.22189080808</v>
      </c>
      <c r="J96" s="25">
        <f t="shared" si="3"/>
        <v>221.94280712743057</v>
      </c>
      <c r="K96" s="25">
        <f t="shared" si="4"/>
        <v>101684.55189080807</v>
      </c>
      <c r="M96" s="26">
        <f t="shared" si="5"/>
        <v>0.4323726033844954</v>
      </c>
      <c r="N96" s="1">
        <f t="shared" si="7"/>
        <v>771.81999999997788</v>
      </c>
      <c r="O96" s="44">
        <f t="shared" si="8"/>
        <v>225733.47000000003</v>
      </c>
    </row>
    <row r="97" spans="1:15" x14ac:dyDescent="0.25">
      <c r="A97" s="24">
        <v>41609</v>
      </c>
      <c r="B97" s="39">
        <v>602.52</v>
      </c>
      <c r="C97" s="41">
        <f>190.32 + 250 + 100</f>
        <v>540.31999999999994</v>
      </c>
      <c r="D97" s="39">
        <v>1359.73</v>
      </c>
      <c r="E97" s="21">
        <v>5.2200000000000003E-2</v>
      </c>
      <c r="F97" s="27">
        <v>135411.14000000001</v>
      </c>
      <c r="G97" s="46">
        <f t="shared" ref="G97:G98" si="9">G96+C97</f>
        <v>89565.12000000001</v>
      </c>
      <c r="H97" s="22">
        <f t="shared" ref="H97:H160" si="10">F97/$F$31</f>
        <v>0.54164456000000005</v>
      </c>
      <c r="I97" s="25">
        <f>'1 - Amortisation'!G68</f>
        <v>238169.61451262719</v>
      </c>
      <c r="J97" s="25">
        <f t="shared" ref="J97:J160" si="11">I96-I97</f>
        <v>223.60737818089547</v>
      </c>
      <c r="K97" s="25">
        <f t="shared" si="4"/>
        <v>102758.47451262717</v>
      </c>
      <c r="M97" s="26">
        <f t="shared" ref="M97:M160" si="12">B97/D97</f>
        <v>0.44311738359821434</v>
      </c>
      <c r="N97" s="1">
        <f t="shared" si="7"/>
        <v>1297.5299999999988</v>
      </c>
      <c r="O97" s="44">
        <f t="shared" si="8"/>
        <v>224976.26</v>
      </c>
    </row>
    <row r="98" spans="1:15" x14ac:dyDescent="0.25">
      <c r="A98" s="24">
        <v>41640</v>
      </c>
      <c r="B98" s="39">
        <v>599.63</v>
      </c>
      <c r="C98" s="39">
        <f>-740 + 100</f>
        <v>-640</v>
      </c>
      <c r="D98" s="39">
        <v>1359.73</v>
      </c>
      <c r="E98" s="21">
        <v>5.2200000000000003E-2</v>
      </c>
      <c r="F98" s="27">
        <v>135291.04</v>
      </c>
      <c r="G98" s="46">
        <f t="shared" si="9"/>
        <v>88925.12000000001</v>
      </c>
      <c r="H98" s="22">
        <f t="shared" si="10"/>
        <v>0.54116416000000001</v>
      </c>
      <c r="I98" s="25">
        <f>'1 - Amortisation'!G69</f>
        <v>237944.33007910993</v>
      </c>
      <c r="J98" s="25">
        <f t="shared" si="11"/>
        <v>225.28443351725582</v>
      </c>
      <c r="K98" s="25">
        <f t="shared" si="4"/>
        <v>102653.29007910992</v>
      </c>
      <c r="M98" s="26">
        <f t="shared" si="12"/>
        <v>0.4409919616394431</v>
      </c>
      <c r="N98" s="1">
        <f t="shared" si="7"/>
        <v>120.10000000000582</v>
      </c>
      <c r="O98" s="44">
        <f>F98+G98</f>
        <v>224216.16000000003</v>
      </c>
    </row>
    <row r="99" spans="1:15" x14ac:dyDescent="0.25">
      <c r="A99" s="24">
        <v>41671</v>
      </c>
      <c r="B99" s="39">
        <v>539.9</v>
      </c>
      <c r="C99" s="39">
        <f>200 + 175.31 + 411.29</f>
        <v>786.6</v>
      </c>
      <c r="D99" s="39">
        <v>1359.73</v>
      </c>
      <c r="E99" s="21">
        <v>5.2200000000000003E-2</v>
      </c>
      <c r="F99" s="27">
        <v>133684.60999999999</v>
      </c>
      <c r="G99" s="46">
        <v>89300.43</v>
      </c>
      <c r="H99" s="22">
        <f t="shared" si="10"/>
        <v>0.53473843999999993</v>
      </c>
      <c r="I99" s="25">
        <f>'1 - Amortisation'!G70</f>
        <v>237717.3560123413</v>
      </c>
      <c r="J99" s="25">
        <f t="shared" si="11"/>
        <v>226.97406676862738</v>
      </c>
      <c r="K99" s="25">
        <f t="shared" si="4"/>
        <v>104032.74601234132</v>
      </c>
      <c r="M99" s="26">
        <f t="shared" si="12"/>
        <v>0.39706412302442395</v>
      </c>
      <c r="N99" s="1">
        <f t="shared" si="7"/>
        <v>1606.4300000000221</v>
      </c>
      <c r="O99" s="44">
        <f t="shared" ref="O99:O162" si="13">F99+G99</f>
        <v>222985.03999999998</v>
      </c>
    </row>
    <row r="100" spans="1:15" x14ac:dyDescent="0.25">
      <c r="A100" s="24">
        <v>41699</v>
      </c>
      <c r="B100" s="39">
        <v>588.38</v>
      </c>
      <c r="C100" s="39">
        <f>500 + 460.74 + 1000</f>
        <v>1960.74</v>
      </c>
      <c r="D100" s="39">
        <v>1359.73</v>
      </c>
      <c r="E100" s="21">
        <v>5.2200000000000003E-2</v>
      </c>
      <c r="F100" s="27">
        <v>130952.52</v>
      </c>
      <c r="G100" s="46">
        <v>91672.46</v>
      </c>
      <c r="H100" s="22">
        <f t="shared" si="10"/>
        <v>0.52381008000000007</v>
      </c>
      <c r="I100" s="25">
        <f>'1 - Amortisation'!G71</f>
        <v>237488.6796400719</v>
      </c>
      <c r="J100" s="25">
        <f t="shared" si="11"/>
        <v>228.67637226940133</v>
      </c>
      <c r="K100" s="25">
        <f t="shared" si="4"/>
        <v>106536.1596400719</v>
      </c>
      <c r="M100" s="26">
        <f t="shared" si="12"/>
        <v>0.43271826024284232</v>
      </c>
      <c r="N100" s="1">
        <f t="shared" si="7"/>
        <v>2732.089999999982</v>
      </c>
      <c r="O100" s="44">
        <f t="shared" si="13"/>
        <v>222624.98</v>
      </c>
    </row>
    <row r="101" spans="1:15" x14ac:dyDescent="0.25">
      <c r="A101" s="24">
        <v>41730</v>
      </c>
      <c r="B101" s="39">
        <v>559.70000000000005</v>
      </c>
      <c r="C101" s="39">
        <v>0</v>
      </c>
      <c r="D101" s="39">
        <v>1359.73</v>
      </c>
      <c r="E101" s="21">
        <v>5.2200000000000003E-2</v>
      </c>
      <c r="F101" s="27">
        <v>130152.49</v>
      </c>
      <c r="G101" s="46">
        <v>91672.46</v>
      </c>
      <c r="H101" s="22">
        <f t="shared" si="10"/>
        <v>0.52060996000000004</v>
      </c>
      <c r="I101" s="25">
        <f>'1 - Amortisation'!G72</f>
        <v>237258.28819501048</v>
      </c>
      <c r="J101" s="25">
        <f t="shared" si="11"/>
        <v>230.39144506142475</v>
      </c>
      <c r="K101" s="25">
        <f t="shared" si="4"/>
        <v>107105.79819501047</v>
      </c>
      <c r="M101" s="26">
        <f t="shared" si="12"/>
        <v>0.41162583748244141</v>
      </c>
      <c r="N101" s="1">
        <f t="shared" si="7"/>
        <v>800.02999999999884</v>
      </c>
      <c r="O101" s="44">
        <f t="shared" si="13"/>
        <v>221824.95</v>
      </c>
    </row>
    <row r="102" spans="1:15" x14ac:dyDescent="0.25">
      <c r="A102" s="24">
        <v>41760</v>
      </c>
      <c r="B102" s="39">
        <v>574.19000000000005</v>
      </c>
      <c r="C102" s="39">
        <f>150+413.8</f>
        <v>563.79999999999995</v>
      </c>
      <c r="D102" s="39">
        <v>1359.73</v>
      </c>
      <c r="E102" s="21">
        <v>5.2200000000000003E-2</v>
      </c>
      <c r="F102" s="27">
        <v>128803.15</v>
      </c>
      <c r="G102" s="46">
        <v>92236.26</v>
      </c>
      <c r="H102" s="22">
        <f t="shared" si="10"/>
        <v>0.51521260000000002</v>
      </c>
      <c r="I102" s="25">
        <f>'1 - Amortisation'!G73</f>
        <v>237026.16881411109</v>
      </c>
      <c r="J102" s="25">
        <f t="shared" si="11"/>
        <v>232.11938089938485</v>
      </c>
      <c r="K102" s="25">
        <f t="shared" si="4"/>
        <v>108223.0188141111</v>
      </c>
      <c r="M102" s="26">
        <f t="shared" si="12"/>
        <v>0.42228236488126325</v>
      </c>
      <c r="N102" s="1">
        <f t="shared" si="7"/>
        <v>1349.3400000000111</v>
      </c>
      <c r="O102" s="44">
        <f t="shared" si="13"/>
        <v>221039.40999999997</v>
      </c>
    </row>
    <row r="103" spans="1:15" x14ac:dyDescent="0.25">
      <c r="A103" s="24">
        <v>41791</v>
      </c>
      <c r="B103" s="39">
        <v>550.26</v>
      </c>
      <c r="C103" s="39">
        <f>100</f>
        <v>100</v>
      </c>
      <c r="D103" s="39">
        <v>1359.73</v>
      </c>
      <c r="E103" s="21">
        <v>5.2200000000000003E-2</v>
      </c>
      <c r="F103" s="27">
        <v>127893.68</v>
      </c>
      <c r="G103" s="46">
        <v>90976.53</v>
      </c>
      <c r="H103" s="22">
        <f t="shared" si="10"/>
        <v>0.51157471999999993</v>
      </c>
      <c r="I103" s="25">
        <f>'1 - Amortisation'!G74</f>
        <v>236792.30853785496</v>
      </c>
      <c r="J103" s="25">
        <f t="shared" si="11"/>
        <v>233.86027625613497</v>
      </c>
      <c r="K103" s="25">
        <f t="shared" si="4"/>
        <v>108898.62853785497</v>
      </c>
      <c r="M103" s="26">
        <f t="shared" si="12"/>
        <v>0.40468328271053811</v>
      </c>
      <c r="N103" s="1">
        <f t="shared" si="7"/>
        <v>909.47000000000116</v>
      </c>
      <c r="O103" s="44">
        <f t="shared" si="13"/>
        <v>218870.21</v>
      </c>
    </row>
    <row r="104" spans="1:15" x14ac:dyDescent="0.25">
      <c r="A104" s="24">
        <v>41821</v>
      </c>
      <c r="B104" s="39">
        <v>570.39</v>
      </c>
      <c r="C104" s="39">
        <f>10000-15000</f>
        <v>-5000</v>
      </c>
      <c r="D104" s="39">
        <v>1359.73</v>
      </c>
      <c r="E104" s="21">
        <v>5.2200000000000003E-2</v>
      </c>
      <c r="F104" s="27">
        <v>132104</v>
      </c>
      <c r="G104" s="46">
        <v>85977.26</v>
      </c>
      <c r="H104" s="22">
        <f t="shared" si="10"/>
        <v>0.528416</v>
      </c>
      <c r="I104" s="25">
        <f>'1 - Amortisation'!G75</f>
        <v>236556.69430952691</v>
      </c>
      <c r="J104" s="25">
        <f t="shared" si="11"/>
        <v>235.61422832804965</v>
      </c>
      <c r="K104" s="25">
        <f t="shared" si="4"/>
        <v>104452.69430952691</v>
      </c>
      <c r="M104" s="26">
        <f t="shared" si="12"/>
        <v>0.41948769240952244</v>
      </c>
      <c r="N104" s="1">
        <f t="shared" si="7"/>
        <v>-4210.320000000007</v>
      </c>
      <c r="O104" s="44">
        <f t="shared" si="13"/>
        <v>218081.26</v>
      </c>
    </row>
    <row r="105" spans="1:15" x14ac:dyDescent="0.25">
      <c r="A105" s="24">
        <v>41852</v>
      </c>
      <c r="B105" s="39">
        <v>586.26</v>
      </c>
      <c r="C105" s="39">
        <f>-1359</f>
        <v>-1359</v>
      </c>
      <c r="D105" s="39">
        <v>1359.73</v>
      </c>
      <c r="E105" s="21">
        <v>5.2200000000000003E-2</v>
      </c>
      <c r="F105" s="27">
        <v>132689.87</v>
      </c>
      <c r="G105" s="46">
        <v>85977.26</v>
      </c>
      <c r="H105" s="22">
        <f t="shared" si="10"/>
        <v>0.53075947999999995</v>
      </c>
      <c r="I105" s="25">
        <f>'1 - Amortisation'!G76</f>
        <v>236319.31297448641</v>
      </c>
      <c r="J105" s="25">
        <f t="shared" si="11"/>
        <v>237.3813350404962</v>
      </c>
      <c r="K105" s="25">
        <f t="shared" si="4"/>
        <v>103629.44297448642</v>
      </c>
      <c r="M105" s="26">
        <f t="shared" si="12"/>
        <v>0.43115912717966065</v>
      </c>
      <c r="N105" s="1">
        <f t="shared" si="7"/>
        <v>-585.86999999999534</v>
      </c>
      <c r="O105" s="44">
        <f t="shared" si="13"/>
        <v>218667.13</v>
      </c>
    </row>
    <row r="106" spans="1:15" x14ac:dyDescent="0.25">
      <c r="A106" s="24">
        <v>41883</v>
      </c>
      <c r="B106" s="39">
        <v>571.22</v>
      </c>
      <c r="C106" s="39">
        <f>-395.85-92.85+1506.4+150</f>
        <v>1167.7</v>
      </c>
      <c r="D106" s="39">
        <v>1359.73</v>
      </c>
      <c r="E106" s="21">
        <v>5.2200000000000003E-2</v>
      </c>
      <c r="F106" s="27">
        <v>132093.39000000001</v>
      </c>
      <c r="G106" s="46">
        <v>85785.23</v>
      </c>
      <c r="H106" s="22">
        <f t="shared" si="10"/>
        <v>0.52837356000000002</v>
      </c>
      <c r="I106" s="25">
        <f>'1 - Amortisation'!G77</f>
        <v>236080.15127943311</v>
      </c>
      <c r="J106" s="25">
        <f t="shared" si="11"/>
        <v>239.16169505330618</v>
      </c>
      <c r="K106" s="25">
        <f t="shared" si="4"/>
        <v>103986.76127943309</v>
      </c>
      <c r="M106" s="26">
        <f t="shared" si="12"/>
        <v>0.42009810771256062</v>
      </c>
      <c r="N106" s="1">
        <f t="shared" si="7"/>
        <v>596.47999999998137</v>
      </c>
      <c r="O106" s="44">
        <f t="shared" si="13"/>
        <v>217878.62</v>
      </c>
    </row>
    <row r="107" spans="1:15" x14ac:dyDescent="0.25">
      <c r="A107" s="24">
        <v>41913</v>
      </c>
      <c r="B107" s="39">
        <v>581.05999999999995</v>
      </c>
      <c r="C107" s="39">
        <f>346.15-1359.73+346.15+816.74 +10000</f>
        <v>10149.31</v>
      </c>
      <c r="D107" s="39">
        <v>1359.73</v>
      </c>
      <c r="E107" s="21">
        <v>5.2200000000000003E-2</v>
      </c>
      <c r="F107" s="27">
        <v>121165.41</v>
      </c>
      <c r="G107" s="46">
        <f>94824.81-250</f>
        <v>94574.81</v>
      </c>
      <c r="H107" s="22">
        <f t="shared" si="10"/>
        <v>0.48466164</v>
      </c>
      <c r="I107" s="25">
        <f>'1 - Amortisation'!G78</f>
        <v>235839.19587166689</v>
      </c>
      <c r="J107" s="25">
        <f t="shared" si="11"/>
        <v>240.95540776621783</v>
      </c>
      <c r="K107" s="25">
        <f t="shared" si="4"/>
        <v>114673.78587166689</v>
      </c>
      <c r="M107" s="26">
        <f t="shared" si="12"/>
        <v>0.42733483853412069</v>
      </c>
      <c r="N107" s="1">
        <f t="shared" si="7"/>
        <v>10927.98000000001</v>
      </c>
      <c r="O107" s="44">
        <f t="shared" si="13"/>
        <v>215740.22</v>
      </c>
    </row>
    <row r="108" spans="1:15" x14ac:dyDescent="0.25">
      <c r="A108" s="24">
        <v>41944</v>
      </c>
      <c r="B108" s="39">
        <v>538.11</v>
      </c>
      <c r="C108" s="39">
        <f>250-1983-3351.5+346.15+346.15+500-3071.35</f>
        <v>-6963.5500000000011</v>
      </c>
      <c r="D108" s="39">
        <v>1359.73</v>
      </c>
      <c r="E108" s="21">
        <v>5.2200000000000003E-2</v>
      </c>
      <c r="F108" s="27">
        <v>128666.34</v>
      </c>
      <c r="G108" s="46">
        <f>86507.06-254.8</f>
        <v>86252.26</v>
      </c>
      <c r="H108" s="22">
        <f t="shared" si="10"/>
        <v>0.51466535999999996</v>
      </c>
      <c r="I108" s="25">
        <f>'1 - Amortisation'!G79</f>
        <v>235596.43329834242</v>
      </c>
      <c r="J108" s="25">
        <f t="shared" si="11"/>
        <v>242.76257332446403</v>
      </c>
      <c r="K108" s="25">
        <f t="shared" si="4"/>
        <v>106930.09329834243</v>
      </c>
      <c r="M108" s="26">
        <f t="shared" si="12"/>
        <v>0.39574768520220927</v>
      </c>
      <c r="N108" s="1">
        <f t="shared" si="7"/>
        <v>-7500.929999999993</v>
      </c>
      <c r="O108" s="44">
        <f t="shared" si="13"/>
        <v>214918.59999999998</v>
      </c>
    </row>
    <row r="109" spans="1:15" x14ac:dyDescent="0.25">
      <c r="A109" s="24">
        <v>41974</v>
      </c>
      <c r="B109" s="39">
        <v>567.04999999999995</v>
      </c>
      <c r="C109" s="39">
        <f>346.15 -437.5+346.15</f>
        <v>254.79999999999995</v>
      </c>
      <c r="D109" s="39">
        <v>1359.73</v>
      </c>
      <c r="E109" s="21">
        <v>5.2200000000000003E-2</v>
      </c>
      <c r="F109" s="27">
        <v>127051.81</v>
      </c>
      <c r="G109" s="46">
        <v>86507.06</v>
      </c>
      <c r="H109" s="22">
        <f t="shared" si="10"/>
        <v>0.50820723999999995</v>
      </c>
      <c r="I109" s="25">
        <f>'1 - Amortisation'!G80</f>
        <v>235351.85000571804</v>
      </c>
      <c r="J109" s="25">
        <f t="shared" si="11"/>
        <v>244.58329262438929</v>
      </c>
      <c r="K109" s="25">
        <f t="shared" si="4"/>
        <v>108300.04000571804</v>
      </c>
      <c r="M109" s="26">
        <f t="shared" si="12"/>
        <v>0.41703132239488716</v>
      </c>
      <c r="N109" s="1">
        <f t="shared" si="7"/>
        <v>1614.5299999999988</v>
      </c>
      <c r="O109" s="44">
        <f t="shared" si="13"/>
        <v>213558.87</v>
      </c>
    </row>
    <row r="110" spans="1:15" x14ac:dyDescent="0.25">
      <c r="A110" s="24">
        <v>42005</v>
      </c>
      <c r="B110" s="39">
        <v>570.63</v>
      </c>
      <c r="C110" s="39">
        <f>200-1865-1359.73</f>
        <v>-3024.73</v>
      </c>
      <c r="D110" s="39">
        <v>1359.73</v>
      </c>
      <c r="E110" s="21">
        <v>5.2200000000000003E-2</v>
      </c>
      <c r="F110" s="27">
        <v>129854.49</v>
      </c>
      <c r="G110" s="46">
        <v>84842.06</v>
      </c>
      <c r="H110" s="22">
        <f t="shared" si="10"/>
        <v>0.51941796000000007</v>
      </c>
      <c r="I110" s="25">
        <f>'1 - Amortisation'!G81</f>
        <v>235105.43233839897</v>
      </c>
      <c r="J110" s="25">
        <f t="shared" si="11"/>
        <v>246.41766731906682</v>
      </c>
      <c r="K110" s="25">
        <f t="shared" si="4"/>
        <v>105250.94233839896</v>
      </c>
      <c r="M110" s="26">
        <f t="shared" si="12"/>
        <v>0.41966419803931659</v>
      </c>
      <c r="N110" s="1">
        <f t="shared" si="7"/>
        <v>-2802.6800000000076</v>
      </c>
      <c r="O110" s="44">
        <f t="shared" si="13"/>
        <v>214696.55</v>
      </c>
    </row>
    <row r="111" spans="1:15" x14ac:dyDescent="0.25">
      <c r="A111" s="24">
        <v>42036</v>
      </c>
      <c r="B111" s="39">
        <v>508.33</v>
      </c>
      <c r="C111" s="39">
        <f>400 + 300</f>
        <v>700</v>
      </c>
      <c r="D111" s="39">
        <v>1359.73</v>
      </c>
      <c r="E111" s="21">
        <v>5.2200000000000003E-2</v>
      </c>
      <c r="F111" s="27">
        <v>128303.09</v>
      </c>
      <c r="G111" s="46">
        <v>84842.06</v>
      </c>
      <c r="H111" s="22">
        <f t="shared" si="10"/>
        <v>0.51321236000000003</v>
      </c>
      <c r="I111" s="25">
        <f>'1 - Amortisation'!G82</f>
        <v>234857.16653857499</v>
      </c>
      <c r="J111" s="25">
        <f t="shared" si="11"/>
        <v>248.26579982397379</v>
      </c>
      <c r="K111" s="25">
        <f t="shared" si="4"/>
        <v>106554.076538575</v>
      </c>
      <c r="M111" s="26">
        <f t="shared" si="12"/>
        <v>0.37384627830525174</v>
      </c>
      <c r="N111" s="1">
        <f t="shared" si="7"/>
        <v>1551.4000000000087</v>
      </c>
      <c r="O111" s="44">
        <f t="shared" si="13"/>
        <v>213145.15</v>
      </c>
    </row>
    <row r="112" spans="1:15" x14ac:dyDescent="0.25">
      <c r="A112" s="24">
        <v>42064</v>
      </c>
      <c r="B112" s="39">
        <v>546.69000000000005</v>
      </c>
      <c r="C112" s="39">
        <f>-4000 + 500</f>
        <v>-3500</v>
      </c>
      <c r="D112" s="39">
        <v>1286.22</v>
      </c>
      <c r="E112" s="21">
        <v>4.9700000000000001E-2</v>
      </c>
      <c r="F112" s="27">
        <v>131063.56</v>
      </c>
      <c r="G112" s="46">
        <v>84842.06</v>
      </c>
      <c r="H112" s="22">
        <f t="shared" si="10"/>
        <v>0.52425423999999998</v>
      </c>
      <c r="I112" s="25">
        <f>'1 - Amortisation'!G83</f>
        <v>234607.03874525236</v>
      </c>
      <c r="J112" s="25">
        <f t="shared" si="11"/>
        <v>250.12779332263744</v>
      </c>
      <c r="K112" s="25">
        <f t="shared" si="4"/>
        <v>103543.47874525236</v>
      </c>
      <c r="M112" s="26">
        <f t="shared" si="12"/>
        <v>0.42503615244670434</v>
      </c>
      <c r="N112" s="1">
        <f t="shared" si="7"/>
        <v>-2760.4700000000012</v>
      </c>
      <c r="O112" s="44">
        <f t="shared" si="13"/>
        <v>215905.62</v>
      </c>
    </row>
    <row r="113" spans="1:15" x14ac:dyDescent="0.25">
      <c r="A113" s="24">
        <v>42095</v>
      </c>
      <c r="B113" s="39">
        <v>533.36</v>
      </c>
      <c r="C113" s="39">
        <f>-500</f>
        <v>-500</v>
      </c>
      <c r="D113" s="39">
        <v>1286.22</v>
      </c>
      <c r="E113" s="21">
        <v>4.9700000000000001E-2</v>
      </c>
      <c r="F113" s="27">
        <v>130810.7</v>
      </c>
      <c r="G113" s="46">
        <v>84842.06</v>
      </c>
      <c r="H113" s="22">
        <f t="shared" si="10"/>
        <v>0.52324280000000001</v>
      </c>
      <c r="I113" s="25">
        <f>'1 - Amortisation'!G84</f>
        <v>234355.03499347979</v>
      </c>
      <c r="J113" s="25">
        <f t="shared" si="11"/>
        <v>252.00375177257229</v>
      </c>
      <c r="K113" s="25">
        <f t="shared" si="4"/>
        <v>103544.33499347979</v>
      </c>
      <c r="M113" s="26">
        <f t="shared" si="12"/>
        <v>0.41467245105813938</v>
      </c>
      <c r="N113" s="1">
        <f t="shared" si="7"/>
        <v>252.86000000000058</v>
      </c>
      <c r="O113" s="44">
        <f t="shared" si="13"/>
        <v>215652.76</v>
      </c>
    </row>
    <row r="114" spans="1:15" x14ac:dyDescent="0.25">
      <c r="A114" s="24">
        <v>42125</v>
      </c>
      <c r="B114" s="39">
        <v>543.16</v>
      </c>
      <c r="C114" s="39">
        <f>-2314.96 - 1200</f>
        <v>-3514.96</v>
      </c>
      <c r="D114" s="39">
        <v>1249.8699999999999</v>
      </c>
      <c r="E114" s="21">
        <v>4.7199999999999999E-2</v>
      </c>
      <c r="F114" s="27">
        <v>133618.95000000001</v>
      </c>
      <c r="G114" s="46">
        <v>84842.06</v>
      </c>
      <c r="H114" s="22">
        <f t="shared" si="10"/>
        <v>0.53447580000000006</v>
      </c>
      <c r="I114" s="25">
        <f>'1 - Amortisation'!G85</f>
        <v>234101.14121356892</v>
      </c>
      <c r="J114" s="25">
        <f t="shared" si="11"/>
        <v>253.89377991086803</v>
      </c>
      <c r="K114" s="25">
        <f t="shared" si="4"/>
        <v>100482.19121356891</v>
      </c>
      <c r="M114" s="26">
        <f t="shared" si="12"/>
        <v>0.4345731956123437</v>
      </c>
      <c r="N114" s="1">
        <f t="shared" si="7"/>
        <v>-2808.2500000000146</v>
      </c>
      <c r="O114" s="44">
        <f t="shared" si="13"/>
        <v>218461.01</v>
      </c>
    </row>
    <row r="115" spans="1:15" x14ac:dyDescent="0.25">
      <c r="A115" s="24">
        <v>42156</v>
      </c>
      <c r="B115" s="39">
        <v>484.18</v>
      </c>
      <c r="C115" s="39">
        <f>-3932.98+11000</f>
        <v>7067.02</v>
      </c>
      <c r="D115" s="39">
        <v>1249.8699999999999</v>
      </c>
      <c r="E115" s="21">
        <v>4.7199999999999999E-2</v>
      </c>
      <c r="F115" s="27">
        <v>125786.24000000001</v>
      </c>
      <c r="G115" s="46">
        <v>85057.77</v>
      </c>
      <c r="H115" s="22">
        <f t="shared" si="10"/>
        <v>0.50314495999999997</v>
      </c>
      <c r="I115" s="25">
        <f>'1 - Amortisation'!G86</f>
        <v>233845.34323030873</v>
      </c>
      <c r="J115" s="25">
        <f t="shared" si="11"/>
        <v>255.79798326018499</v>
      </c>
      <c r="K115" s="25">
        <f t="shared" si="4"/>
        <v>108059.10323030873</v>
      </c>
      <c r="M115" s="26">
        <f t="shared" si="12"/>
        <v>0.38738428796594848</v>
      </c>
      <c r="N115" s="1">
        <f t="shared" si="7"/>
        <v>7832.7100000000064</v>
      </c>
      <c r="O115" s="44">
        <f t="shared" si="13"/>
        <v>210844.01</v>
      </c>
    </row>
    <row r="116" spans="1:15" x14ac:dyDescent="0.25">
      <c r="A116" s="24">
        <v>42186</v>
      </c>
      <c r="B116" s="39"/>
      <c r="C116" s="39">
        <f>-3800</f>
        <v>-3800</v>
      </c>
      <c r="D116" s="39">
        <v>1249.8699999999999</v>
      </c>
      <c r="E116" s="21">
        <v>4.7199999999999999E-2</v>
      </c>
      <c r="G116" s="46"/>
      <c r="H116" s="22">
        <f t="shared" si="10"/>
        <v>0</v>
      </c>
      <c r="I116" s="25">
        <f>'1 - Amortisation'!G87</f>
        <v>233587.6267621741</v>
      </c>
      <c r="J116" s="25">
        <f t="shared" si="11"/>
        <v>257.71646813463303</v>
      </c>
      <c r="M116" s="26">
        <f t="shared" si="12"/>
        <v>0</v>
      </c>
      <c r="N116" s="1">
        <f t="shared" si="7"/>
        <v>0</v>
      </c>
      <c r="O116" s="44">
        <f t="shared" si="13"/>
        <v>0</v>
      </c>
    </row>
    <row r="117" spans="1:15" x14ac:dyDescent="0.25">
      <c r="A117" s="24">
        <v>42217</v>
      </c>
      <c r="B117" s="39"/>
      <c r="C117" s="39"/>
      <c r="D117" s="39"/>
      <c r="E117" s="21"/>
      <c r="G117" s="46"/>
      <c r="H117" s="22">
        <f t="shared" si="10"/>
        <v>0</v>
      </c>
      <c r="I117" s="25">
        <f>'1 - Amortisation'!G88</f>
        <v>233327.97742052845</v>
      </c>
      <c r="J117" s="25">
        <f t="shared" si="11"/>
        <v>259.64934164565057</v>
      </c>
      <c r="M117" s="26" t="e">
        <f t="shared" si="12"/>
        <v>#DIV/0!</v>
      </c>
      <c r="N117" s="1">
        <f t="shared" si="7"/>
        <v>0</v>
      </c>
      <c r="O117" s="44">
        <f t="shared" si="13"/>
        <v>0</v>
      </c>
    </row>
    <row r="118" spans="1:15" x14ac:dyDescent="0.25">
      <c r="A118" s="24">
        <v>42248</v>
      </c>
      <c r="B118" s="39"/>
      <c r="C118" s="39"/>
      <c r="D118" s="39"/>
      <c r="E118" s="21"/>
      <c r="G118" s="46"/>
      <c r="H118" s="22">
        <f t="shared" si="10"/>
        <v>0</v>
      </c>
      <c r="I118" s="25">
        <f>'1 - Amortisation'!G89</f>
        <v>233066.38070882045</v>
      </c>
      <c r="J118" s="25">
        <f t="shared" si="11"/>
        <v>261.59671170799993</v>
      </c>
      <c r="M118" s="26" t="e">
        <f t="shared" si="12"/>
        <v>#DIV/0!</v>
      </c>
      <c r="N118" s="1">
        <f t="shared" si="7"/>
        <v>0</v>
      </c>
      <c r="O118" s="44">
        <f t="shared" si="13"/>
        <v>0</v>
      </c>
    </row>
    <row r="119" spans="1:15" x14ac:dyDescent="0.25">
      <c r="A119" s="24">
        <v>42278</v>
      </c>
      <c r="B119" s="39"/>
      <c r="C119" s="39"/>
      <c r="D119" s="39"/>
      <c r="E119" s="21"/>
      <c r="G119" s="46"/>
      <c r="H119" s="22">
        <f t="shared" si="10"/>
        <v>0</v>
      </c>
      <c r="I119" s="25">
        <f>'1 - Amortisation'!G90</f>
        <v>232802.82202177466</v>
      </c>
      <c r="J119" s="25">
        <f t="shared" si="11"/>
        <v>263.55868704579188</v>
      </c>
      <c r="M119" s="26" t="e">
        <f t="shared" si="12"/>
        <v>#DIV/0!</v>
      </c>
      <c r="N119" s="1">
        <f t="shared" si="7"/>
        <v>0</v>
      </c>
      <c r="O119" s="44">
        <f t="shared" si="13"/>
        <v>0</v>
      </c>
    </row>
    <row r="120" spans="1:15" x14ac:dyDescent="0.25">
      <c r="A120" s="24">
        <v>42309</v>
      </c>
      <c r="B120" s="39"/>
      <c r="C120" s="39"/>
      <c r="D120" s="39"/>
      <c r="E120" s="21"/>
      <c r="G120" s="46"/>
      <c r="H120" s="22">
        <f t="shared" si="10"/>
        <v>0</v>
      </c>
      <c r="I120" s="25">
        <f>'1 - Amortisation'!G91</f>
        <v>232537.286644576</v>
      </c>
      <c r="J120" s="25">
        <f t="shared" si="11"/>
        <v>265.53537719865562</v>
      </c>
      <c r="M120" s="26" t="e">
        <f t="shared" si="12"/>
        <v>#DIV/0!</v>
      </c>
      <c r="N120" s="1">
        <f t="shared" si="7"/>
        <v>0</v>
      </c>
      <c r="O120" s="44">
        <f t="shared" si="13"/>
        <v>0</v>
      </c>
    </row>
    <row r="121" spans="1:15" x14ac:dyDescent="0.25">
      <c r="A121" s="24">
        <v>42339</v>
      </c>
      <c r="B121" s="39"/>
      <c r="C121" s="39"/>
      <c r="D121" s="39"/>
      <c r="E121" s="21"/>
      <c r="G121" s="46"/>
      <c r="H121" s="22">
        <f t="shared" si="10"/>
        <v>0</v>
      </c>
      <c r="I121" s="25">
        <f>'1 - Amortisation'!G92</f>
        <v>232269.75975204835</v>
      </c>
      <c r="J121" s="25">
        <f t="shared" si="11"/>
        <v>267.52689252764685</v>
      </c>
      <c r="M121" s="26" t="e">
        <f t="shared" si="12"/>
        <v>#DIV/0!</v>
      </c>
      <c r="N121" s="1">
        <f t="shared" si="7"/>
        <v>0</v>
      </c>
      <c r="O121" s="44">
        <f t="shared" si="13"/>
        <v>0</v>
      </c>
    </row>
    <row r="122" spans="1:15" x14ac:dyDescent="0.25">
      <c r="A122" s="24">
        <v>42370</v>
      </c>
      <c r="B122" s="39"/>
      <c r="C122" s="39"/>
      <c r="D122" s="39"/>
      <c r="E122" s="21"/>
      <c r="G122" s="46"/>
      <c r="H122" s="22">
        <f t="shared" si="10"/>
        <v>0</v>
      </c>
      <c r="I122" s="25">
        <f>'1 - Amortisation'!G93</f>
        <v>232000.22640782676</v>
      </c>
      <c r="J122" s="25">
        <f t="shared" si="11"/>
        <v>269.53334422159242</v>
      </c>
      <c r="M122" s="26" t="e">
        <f t="shared" si="12"/>
        <v>#DIV/0!</v>
      </c>
      <c r="N122" s="1">
        <f t="shared" si="7"/>
        <v>0</v>
      </c>
      <c r="O122" s="44">
        <f t="shared" si="13"/>
        <v>0</v>
      </c>
    </row>
    <row r="123" spans="1:15" x14ac:dyDescent="0.25">
      <c r="A123" s="24">
        <v>42401</v>
      </c>
      <c r="B123" s="39"/>
      <c r="C123" s="39"/>
      <c r="D123" s="39"/>
      <c r="E123" s="21"/>
      <c r="G123" s="46"/>
      <c r="H123" s="22">
        <f t="shared" si="10"/>
        <v>0</v>
      </c>
      <c r="I123" s="25">
        <f>'1 - Amortisation'!G94</f>
        <v>231728.6715635235</v>
      </c>
      <c r="J123" s="25">
        <f t="shared" si="11"/>
        <v>271.55484430326032</v>
      </c>
      <c r="M123" s="26" t="e">
        <f t="shared" si="12"/>
        <v>#DIV/0!</v>
      </c>
      <c r="N123" s="1">
        <f t="shared" si="7"/>
        <v>0</v>
      </c>
      <c r="O123" s="44">
        <f t="shared" si="13"/>
        <v>0</v>
      </c>
    </row>
    <row r="124" spans="1:15" x14ac:dyDescent="0.25">
      <c r="A124" s="24">
        <v>42430</v>
      </c>
      <c r="B124" s="39"/>
      <c r="C124" s="39"/>
      <c r="D124" s="39"/>
      <c r="E124" s="21"/>
      <c r="G124" s="46"/>
      <c r="H124" s="22">
        <f t="shared" si="10"/>
        <v>0</v>
      </c>
      <c r="I124" s="25">
        <f>'1 - Amortisation'!G95</f>
        <v>231455.08005788797</v>
      </c>
      <c r="J124" s="25">
        <f t="shared" si="11"/>
        <v>273.59150563552976</v>
      </c>
      <c r="M124" s="26" t="e">
        <f t="shared" si="12"/>
        <v>#DIV/0!</v>
      </c>
      <c r="N124" s="1">
        <f t="shared" si="7"/>
        <v>0</v>
      </c>
      <c r="O124" s="44">
        <f t="shared" si="13"/>
        <v>0</v>
      </c>
    </row>
    <row r="125" spans="1:15" x14ac:dyDescent="0.25">
      <c r="A125" s="24">
        <v>42461</v>
      </c>
      <c r="B125" s="39"/>
      <c r="C125" s="39"/>
      <c r="D125" s="39"/>
      <c r="E125" s="21"/>
      <c r="G125" s="46"/>
      <c r="H125" s="22">
        <f t="shared" si="10"/>
        <v>0</v>
      </c>
      <c r="I125" s="25">
        <f>'1 - Amortisation'!G96</f>
        <v>231179.43661596018</v>
      </c>
      <c r="J125" s="25">
        <f t="shared" si="11"/>
        <v>275.6434419277939</v>
      </c>
      <c r="M125" s="26" t="e">
        <f t="shared" si="12"/>
        <v>#DIV/0!</v>
      </c>
      <c r="N125" s="1">
        <f t="shared" si="7"/>
        <v>0</v>
      </c>
      <c r="O125" s="44">
        <f t="shared" si="13"/>
        <v>0</v>
      </c>
    </row>
    <row r="126" spans="1:15" x14ac:dyDescent="0.25">
      <c r="A126" s="24">
        <v>42491</v>
      </c>
      <c r="B126" s="39"/>
      <c r="C126" s="39"/>
      <c r="D126" s="39"/>
      <c r="E126" s="21"/>
      <c r="G126" s="46"/>
      <c r="H126" s="22">
        <f t="shared" si="10"/>
        <v>0</v>
      </c>
      <c r="I126" s="25">
        <f>'1 - Amortisation'!G97</f>
        <v>230901.72584821793</v>
      </c>
      <c r="J126" s="25">
        <f t="shared" si="11"/>
        <v>277.71076774224639</v>
      </c>
      <c r="M126" s="26" t="e">
        <f t="shared" si="12"/>
        <v>#DIV/0!</v>
      </c>
      <c r="N126" s="1">
        <f t="shared" si="7"/>
        <v>0</v>
      </c>
      <c r="O126" s="44">
        <f t="shared" si="13"/>
        <v>0</v>
      </c>
    </row>
    <row r="127" spans="1:15" x14ac:dyDescent="0.25">
      <c r="A127" s="24">
        <v>42522</v>
      </c>
      <c r="B127" s="39"/>
      <c r="C127" s="39"/>
      <c r="D127" s="39"/>
      <c r="E127" s="21"/>
      <c r="G127" s="46"/>
      <c r="H127" s="22">
        <f t="shared" si="10"/>
        <v>0</v>
      </c>
      <c r="I127" s="25">
        <f>'1 - Amortisation'!G98</f>
        <v>230621.93224971762</v>
      </c>
      <c r="J127" s="25">
        <f t="shared" si="11"/>
        <v>279.79359850031324</v>
      </c>
      <c r="M127" s="26" t="e">
        <f t="shared" si="12"/>
        <v>#DIV/0!</v>
      </c>
      <c r="N127" s="1">
        <f t="shared" si="7"/>
        <v>0</v>
      </c>
      <c r="O127" s="44">
        <f t="shared" si="13"/>
        <v>0</v>
      </c>
    </row>
    <row r="128" spans="1:15" x14ac:dyDescent="0.25">
      <c r="A128" s="24">
        <v>42552</v>
      </c>
      <c r="B128" s="39"/>
      <c r="C128" s="39"/>
      <c r="D128" s="39"/>
      <c r="E128" s="21"/>
      <c r="G128" s="46"/>
      <c r="H128" s="22">
        <f t="shared" si="10"/>
        <v>0</v>
      </c>
      <c r="I128" s="25">
        <f>'1 - Amortisation'!G99</f>
        <v>230340.04019922853</v>
      </c>
      <c r="J128" s="25">
        <f t="shared" si="11"/>
        <v>281.8920504890848</v>
      </c>
      <c r="M128" s="26" t="e">
        <f t="shared" si="12"/>
        <v>#DIV/0!</v>
      </c>
      <c r="N128" s="1">
        <f t="shared" si="7"/>
        <v>0</v>
      </c>
      <c r="O128" s="44">
        <f t="shared" si="13"/>
        <v>0</v>
      </c>
    </row>
    <row r="129" spans="1:15" x14ac:dyDescent="0.25">
      <c r="A129" s="24">
        <v>42583</v>
      </c>
      <c r="B129" s="39"/>
      <c r="C129" s="39"/>
      <c r="D129" s="39"/>
      <c r="E129" s="21"/>
      <c r="G129" s="46"/>
      <c r="H129" s="22">
        <f t="shared" si="10"/>
        <v>0</v>
      </c>
      <c r="I129" s="25">
        <f>'1 - Amortisation'!G100</f>
        <v>230056.03395836079</v>
      </c>
      <c r="J129" s="25">
        <f t="shared" si="11"/>
        <v>284.00624086774769</v>
      </c>
      <c r="M129" s="26" t="e">
        <f t="shared" si="12"/>
        <v>#DIV/0!</v>
      </c>
      <c r="N129" s="1">
        <f t="shared" si="7"/>
        <v>0</v>
      </c>
      <c r="O129" s="44">
        <f t="shared" si="13"/>
        <v>0</v>
      </c>
    </row>
    <row r="130" spans="1:15" x14ac:dyDescent="0.25">
      <c r="A130" s="24">
        <v>42614</v>
      </c>
      <c r="B130" s="39"/>
      <c r="C130" s="39"/>
      <c r="D130" s="39"/>
      <c r="E130" s="21"/>
      <c r="G130" s="46"/>
      <c r="H130" s="22">
        <f t="shared" si="10"/>
        <v>0</v>
      </c>
      <c r="I130" s="25">
        <f>'1 - Amortisation'!G101</f>
        <v>229769.89767068654</v>
      </c>
      <c r="J130" s="25">
        <f t="shared" si="11"/>
        <v>286.13628767424962</v>
      </c>
      <c r="M130" s="26" t="e">
        <f t="shared" si="12"/>
        <v>#DIV/0!</v>
      </c>
      <c r="N130" s="1">
        <f t="shared" si="7"/>
        <v>0</v>
      </c>
      <c r="O130" s="44">
        <f t="shared" si="13"/>
        <v>0</v>
      </c>
    </row>
    <row r="131" spans="1:15" x14ac:dyDescent="0.25">
      <c r="A131" s="24">
        <v>42644</v>
      </c>
      <c r="B131" s="39"/>
      <c r="C131" s="39"/>
      <c r="D131" s="39"/>
      <c r="E131" s="21"/>
      <c r="G131" s="46"/>
      <c r="H131" s="22">
        <f t="shared" si="10"/>
        <v>0</v>
      </c>
      <c r="I131" s="25">
        <f>'1 - Amortisation'!G102</f>
        <v>229481.61536085472</v>
      </c>
      <c r="J131" s="25">
        <f t="shared" si="11"/>
        <v>288.28230983181857</v>
      </c>
      <c r="M131" s="26" t="e">
        <f t="shared" si="12"/>
        <v>#DIV/0!</v>
      </c>
      <c r="N131" s="1">
        <f t="shared" si="7"/>
        <v>0</v>
      </c>
      <c r="O131" s="44">
        <f t="shared" si="13"/>
        <v>0</v>
      </c>
    </row>
    <row r="132" spans="1:15" x14ac:dyDescent="0.25">
      <c r="A132" s="24">
        <v>42675</v>
      </c>
      <c r="B132" s="39"/>
      <c r="C132" s="39"/>
      <c r="D132" s="39"/>
      <c r="E132" s="21"/>
      <c r="G132" s="46"/>
      <c r="H132" s="22">
        <f t="shared" si="10"/>
        <v>0</v>
      </c>
      <c r="I132" s="25">
        <f>'1 - Amortisation'!G103</f>
        <v>229191.17093369918</v>
      </c>
      <c r="J132" s="25">
        <f t="shared" si="11"/>
        <v>290.44442715554032</v>
      </c>
      <c r="M132" s="26" t="e">
        <f t="shared" si="12"/>
        <v>#DIV/0!</v>
      </c>
      <c r="N132" s="1">
        <f t="shared" si="7"/>
        <v>0</v>
      </c>
      <c r="O132" s="44">
        <f t="shared" si="13"/>
        <v>0</v>
      </c>
    </row>
    <row r="133" spans="1:15" x14ac:dyDescent="0.25">
      <c r="A133" s="24">
        <v>42705</v>
      </c>
      <c r="B133" s="39"/>
      <c r="C133" s="39"/>
      <c r="D133" s="39"/>
      <c r="E133" s="21"/>
      <c r="G133" s="46"/>
      <c r="H133" s="22">
        <f t="shared" si="10"/>
        <v>0</v>
      </c>
      <c r="I133" s="25">
        <f>'1 - Amortisation'!G104</f>
        <v>228898.54817333998</v>
      </c>
      <c r="J133" s="25">
        <f t="shared" si="11"/>
        <v>292.62276035919785</v>
      </c>
      <c r="M133" s="26" t="e">
        <f t="shared" si="12"/>
        <v>#DIV/0!</v>
      </c>
      <c r="N133" s="1">
        <f t="shared" si="7"/>
        <v>0</v>
      </c>
      <c r="O133" s="44">
        <f t="shared" si="13"/>
        <v>0</v>
      </c>
    </row>
    <row r="134" spans="1:15" x14ac:dyDescent="0.25">
      <c r="A134" s="24">
        <v>42736</v>
      </c>
      <c r="B134" s="39"/>
      <c r="C134" s="39"/>
      <c r="D134" s="39"/>
      <c r="E134" s="21"/>
      <c r="G134" s="46"/>
      <c r="H134" s="22">
        <f t="shared" si="10"/>
        <v>0</v>
      </c>
      <c r="I134" s="25">
        <f>'1 - Amortisation'!G105</f>
        <v>228603.73074227807</v>
      </c>
      <c r="J134" s="25">
        <f t="shared" si="11"/>
        <v>294.81743106190697</v>
      </c>
      <c r="M134" s="26" t="e">
        <f t="shared" si="12"/>
        <v>#DIV/0!</v>
      </c>
      <c r="N134" s="1">
        <f t="shared" si="7"/>
        <v>0</v>
      </c>
      <c r="O134" s="44">
        <f t="shared" si="13"/>
        <v>0</v>
      </c>
    </row>
    <row r="135" spans="1:15" x14ac:dyDescent="0.25">
      <c r="A135" s="24">
        <v>42767</v>
      </c>
      <c r="B135" s="39"/>
      <c r="C135" s="39"/>
      <c r="D135" s="39"/>
      <c r="E135" s="21"/>
      <c r="G135" s="46"/>
      <c r="H135" s="22">
        <f t="shared" si="10"/>
        <v>0</v>
      </c>
      <c r="I135" s="25">
        <f>'1 - Amortisation'!G106</f>
        <v>228306.7021804832</v>
      </c>
      <c r="J135" s="25">
        <f t="shared" si="11"/>
        <v>297.02856179486844</v>
      </c>
      <c r="M135" s="26" t="e">
        <f t="shared" si="12"/>
        <v>#DIV/0!</v>
      </c>
      <c r="N135" s="1">
        <f t="shared" si="7"/>
        <v>0</v>
      </c>
      <c r="O135" s="44">
        <f t="shared" si="13"/>
        <v>0</v>
      </c>
    </row>
    <row r="136" spans="1:15" x14ac:dyDescent="0.25">
      <c r="A136" s="24">
        <v>42795</v>
      </c>
      <c r="B136" s="39"/>
      <c r="C136" s="39"/>
      <c r="D136" s="39"/>
      <c r="E136" s="21"/>
      <c r="G136" s="46"/>
      <c r="H136" s="22">
        <f t="shared" si="10"/>
        <v>0</v>
      </c>
      <c r="I136" s="25">
        <f>'1 - Amortisation'!G107</f>
        <v>228007.44590447488</v>
      </c>
      <c r="J136" s="25">
        <f t="shared" si="11"/>
        <v>299.25627600832377</v>
      </c>
      <c r="M136" s="26" t="e">
        <f t="shared" si="12"/>
        <v>#DIV/0!</v>
      </c>
      <c r="N136" s="1">
        <f t="shared" si="7"/>
        <v>0</v>
      </c>
      <c r="O136" s="44">
        <f t="shared" si="13"/>
        <v>0</v>
      </c>
    </row>
    <row r="137" spans="1:15" x14ac:dyDescent="0.25">
      <c r="A137" s="24">
        <v>42826</v>
      </c>
      <c r="B137" s="39"/>
      <c r="C137" s="39"/>
      <c r="D137" s="39"/>
      <c r="E137" s="21"/>
      <c r="G137" s="46"/>
      <c r="H137" s="22">
        <f t="shared" si="10"/>
        <v>0</v>
      </c>
      <c r="I137" s="25">
        <f>'1 - Amortisation'!G108</f>
        <v>227705.94520639649</v>
      </c>
      <c r="J137" s="25">
        <f t="shared" si="11"/>
        <v>301.50069807839463</v>
      </c>
      <c r="M137" s="26" t="e">
        <f t="shared" si="12"/>
        <v>#DIV/0!</v>
      </c>
      <c r="N137" s="1">
        <f t="shared" si="7"/>
        <v>0</v>
      </c>
      <c r="O137" s="44">
        <f t="shared" si="13"/>
        <v>0</v>
      </c>
    </row>
    <row r="138" spans="1:15" x14ac:dyDescent="0.25">
      <c r="A138" s="24">
        <v>42856</v>
      </c>
      <c r="B138" s="39"/>
      <c r="C138" s="39"/>
      <c r="D138" s="39"/>
      <c r="E138" s="21"/>
      <c r="G138" s="46"/>
      <c r="H138" s="22">
        <f t="shared" si="10"/>
        <v>0</v>
      </c>
      <c r="I138" s="25">
        <f>'1 - Amortisation'!G109</f>
        <v>227402.1832530825</v>
      </c>
      <c r="J138" s="25">
        <f t="shared" si="11"/>
        <v>303.76195331398048</v>
      </c>
      <c r="M138" s="26" t="e">
        <f t="shared" si="12"/>
        <v>#DIV/0!</v>
      </c>
      <c r="N138" s="1">
        <f t="shared" si="7"/>
        <v>0</v>
      </c>
      <c r="O138" s="44">
        <f t="shared" si="13"/>
        <v>0</v>
      </c>
    </row>
    <row r="139" spans="1:15" x14ac:dyDescent="0.25">
      <c r="A139" s="24">
        <v>42887</v>
      </c>
      <c r="B139" s="39"/>
      <c r="C139" s="39"/>
      <c r="D139" s="39"/>
      <c r="E139" s="21"/>
      <c r="G139" s="46"/>
      <c r="H139" s="22">
        <f t="shared" si="10"/>
        <v>0</v>
      </c>
      <c r="I139" s="25">
        <f>'1 - Amortisation'!G110</f>
        <v>227096.14308511867</v>
      </c>
      <c r="J139" s="25">
        <f t="shared" si="11"/>
        <v>306.04016796383075</v>
      </c>
      <c r="M139" s="26" t="e">
        <f t="shared" si="12"/>
        <v>#DIV/0!</v>
      </c>
      <c r="N139" s="1">
        <f t="shared" si="7"/>
        <v>0</v>
      </c>
      <c r="O139" s="44">
        <f t="shared" si="13"/>
        <v>0</v>
      </c>
    </row>
    <row r="140" spans="1:15" x14ac:dyDescent="0.25">
      <c r="A140" s="24">
        <v>42917</v>
      </c>
      <c r="B140" s="39"/>
      <c r="C140" s="39"/>
      <c r="D140" s="39"/>
      <c r="E140" s="21"/>
      <c r="G140" s="46"/>
      <c r="H140" s="22">
        <f t="shared" si="10"/>
        <v>0</v>
      </c>
      <c r="I140" s="25">
        <f>'1 - Amortisation'!G111</f>
        <v>226787.80761589512</v>
      </c>
      <c r="J140" s="25">
        <f t="shared" si="11"/>
        <v>308.3354692235589</v>
      </c>
      <c r="M140" s="26" t="e">
        <f t="shared" si="12"/>
        <v>#DIV/0!</v>
      </c>
      <c r="N140" s="1">
        <f t="shared" si="7"/>
        <v>0</v>
      </c>
      <c r="O140" s="44">
        <f t="shared" si="13"/>
        <v>0</v>
      </c>
    </row>
    <row r="141" spans="1:15" x14ac:dyDescent="0.25">
      <c r="A141" s="24">
        <v>42948</v>
      </c>
      <c r="B141" s="39"/>
      <c r="C141" s="39"/>
      <c r="D141" s="39"/>
      <c r="E141" s="21"/>
      <c r="G141" s="46"/>
      <c r="H141" s="22">
        <f t="shared" si="10"/>
        <v>0</v>
      </c>
      <c r="I141" s="25">
        <f>'1 - Amortisation'!G112</f>
        <v>226477.15963065237</v>
      </c>
      <c r="J141" s="25">
        <f t="shared" si="11"/>
        <v>310.64798524274374</v>
      </c>
      <c r="M141" s="26" t="e">
        <f t="shared" si="12"/>
        <v>#DIV/0!</v>
      </c>
      <c r="N141" s="1">
        <f t="shared" si="7"/>
        <v>0</v>
      </c>
      <c r="O141" s="44">
        <f t="shared" si="13"/>
        <v>0</v>
      </c>
    </row>
    <row r="142" spans="1:15" x14ac:dyDescent="0.25">
      <c r="A142" s="24">
        <v>42979</v>
      </c>
      <c r="B142" s="39"/>
      <c r="C142" s="39"/>
      <c r="D142" s="39"/>
      <c r="E142" s="21"/>
      <c r="G142" s="46"/>
      <c r="H142" s="22">
        <f t="shared" si="10"/>
        <v>0</v>
      </c>
      <c r="I142" s="25">
        <f>'1 - Amortisation'!G113</f>
        <v>226164.18178552031</v>
      </c>
      <c r="J142" s="25">
        <f t="shared" si="11"/>
        <v>312.97784513205988</v>
      </c>
      <c r="M142" s="26" t="e">
        <f t="shared" si="12"/>
        <v>#DIV/0!</v>
      </c>
      <c r="N142" s="1">
        <f t="shared" si="7"/>
        <v>0</v>
      </c>
      <c r="O142" s="44">
        <f t="shared" si="13"/>
        <v>0</v>
      </c>
    </row>
    <row r="143" spans="1:15" x14ac:dyDescent="0.25">
      <c r="A143" s="24">
        <v>43009</v>
      </c>
      <c r="B143" s="39"/>
      <c r="C143" s="39"/>
      <c r="D143" s="39"/>
      <c r="E143" s="21"/>
      <c r="G143" s="46"/>
      <c r="H143" s="22">
        <f t="shared" si="10"/>
        <v>0</v>
      </c>
      <c r="I143" s="25">
        <f>'1 - Amortisation'!G114</f>
        <v>225848.85660654976</v>
      </c>
      <c r="J143" s="25">
        <f t="shared" si="11"/>
        <v>315.32517897055368</v>
      </c>
      <c r="M143" s="26" t="e">
        <f t="shared" si="12"/>
        <v>#DIV/0!</v>
      </c>
      <c r="N143" s="1">
        <f t="shared" si="7"/>
        <v>0</v>
      </c>
      <c r="O143" s="44">
        <f t="shared" si="13"/>
        <v>0</v>
      </c>
    </row>
    <row r="144" spans="1:15" x14ac:dyDescent="0.25">
      <c r="A144" s="24">
        <v>43040</v>
      </c>
      <c r="B144" s="39"/>
      <c r="C144" s="39"/>
      <c r="D144" s="39"/>
      <c r="E144" s="21"/>
      <c r="G144" s="46"/>
      <c r="H144" s="22">
        <f t="shared" si="10"/>
        <v>0</v>
      </c>
      <c r="I144" s="25">
        <f>'1 - Amortisation'!G115</f>
        <v>225531.16648873693</v>
      </c>
      <c r="J144" s="25">
        <f t="shared" si="11"/>
        <v>317.69011781283189</v>
      </c>
      <c r="M144" s="26" t="e">
        <f t="shared" si="12"/>
        <v>#DIV/0!</v>
      </c>
      <c r="N144" s="1">
        <f t="shared" si="7"/>
        <v>0</v>
      </c>
      <c r="O144" s="44">
        <f t="shared" si="13"/>
        <v>0</v>
      </c>
    </row>
    <row r="145" spans="1:15" x14ac:dyDescent="0.25">
      <c r="A145" s="24">
        <v>43070</v>
      </c>
      <c r="B145" s="39"/>
      <c r="C145" s="39"/>
      <c r="D145" s="39"/>
      <c r="E145" s="21"/>
      <c r="G145" s="46"/>
      <c r="H145" s="22">
        <f t="shared" si="10"/>
        <v>0</v>
      </c>
      <c r="I145" s="25">
        <f>'1 - Amortisation'!G116</f>
        <v>225211.0936950405</v>
      </c>
      <c r="J145" s="25">
        <f t="shared" si="11"/>
        <v>320.07279369642492</v>
      </c>
      <c r="M145" s="26" t="e">
        <f t="shared" si="12"/>
        <v>#DIV/0!</v>
      </c>
      <c r="N145" s="1">
        <f t="shared" si="7"/>
        <v>0</v>
      </c>
      <c r="O145" s="44">
        <f t="shared" si="13"/>
        <v>0</v>
      </c>
    </row>
    <row r="146" spans="1:15" x14ac:dyDescent="0.25">
      <c r="A146" s="24">
        <v>43101</v>
      </c>
      <c r="B146" s="39"/>
      <c r="C146" s="39"/>
      <c r="D146" s="39"/>
      <c r="E146" s="21"/>
      <c r="G146" s="46"/>
      <c r="H146" s="22">
        <f t="shared" si="10"/>
        <v>0</v>
      </c>
      <c r="I146" s="25">
        <f>'1 - Amortisation'!G117</f>
        <v>224888.62035539135</v>
      </c>
      <c r="J146" s="25">
        <f t="shared" si="11"/>
        <v>322.47333964915015</v>
      </c>
      <c r="M146" s="26" t="e">
        <f t="shared" si="12"/>
        <v>#DIV/0!</v>
      </c>
      <c r="N146" s="1">
        <f t="shared" si="7"/>
        <v>0</v>
      </c>
      <c r="O146" s="44">
        <f t="shared" si="13"/>
        <v>0</v>
      </c>
    </row>
    <row r="147" spans="1:15" x14ac:dyDescent="0.25">
      <c r="A147" s="24">
        <v>43132</v>
      </c>
      <c r="B147" s="39"/>
      <c r="C147" s="39"/>
      <c r="D147" s="39"/>
      <c r="E147" s="21"/>
      <c r="G147" s="46"/>
      <c r="H147" s="22">
        <f t="shared" si="10"/>
        <v>0</v>
      </c>
      <c r="I147" s="25">
        <f>'1 - Amortisation'!G118</f>
        <v>224563.72846569482</v>
      </c>
      <c r="J147" s="25">
        <f t="shared" si="11"/>
        <v>324.89188969653333</v>
      </c>
      <c r="M147" s="26" t="e">
        <f t="shared" si="12"/>
        <v>#DIV/0!</v>
      </c>
      <c r="N147" s="1">
        <f t="shared" si="7"/>
        <v>0</v>
      </c>
      <c r="O147" s="44">
        <f t="shared" si="13"/>
        <v>0</v>
      </c>
    </row>
    <row r="148" spans="1:15" x14ac:dyDescent="0.25">
      <c r="A148" s="24">
        <v>43160</v>
      </c>
      <c r="B148" s="39"/>
      <c r="C148" s="39"/>
      <c r="D148" s="39"/>
      <c r="E148" s="21"/>
      <c r="G148" s="46"/>
      <c r="H148" s="22">
        <f t="shared" si="10"/>
        <v>0</v>
      </c>
      <c r="I148" s="25">
        <f>'1 - Amortisation'!G119</f>
        <v>224236.39988682559</v>
      </c>
      <c r="J148" s="25">
        <f t="shared" si="11"/>
        <v>327.32857886923011</v>
      </c>
      <c r="M148" s="26" t="e">
        <f t="shared" si="12"/>
        <v>#DIV/0!</v>
      </c>
      <c r="N148" s="1">
        <f t="shared" si="7"/>
        <v>0</v>
      </c>
      <c r="O148" s="44">
        <f t="shared" si="13"/>
        <v>0</v>
      </c>
    </row>
    <row r="149" spans="1:15" x14ac:dyDescent="0.25">
      <c r="A149" s="24">
        <v>43191</v>
      </c>
      <c r="B149" s="39"/>
      <c r="C149" s="39"/>
      <c r="D149" s="39"/>
      <c r="E149" s="21"/>
      <c r="G149" s="46"/>
      <c r="H149" s="22">
        <f t="shared" si="10"/>
        <v>0</v>
      </c>
      <c r="I149" s="25">
        <f>'1 - Amortisation'!G120</f>
        <v>223906.61634361482</v>
      </c>
      <c r="J149" s="25">
        <f t="shared" si="11"/>
        <v>329.78354321076768</v>
      </c>
      <c r="M149" s="26" t="e">
        <f t="shared" si="12"/>
        <v>#DIV/0!</v>
      </c>
      <c r="N149" s="1">
        <f t="shared" si="7"/>
        <v>0</v>
      </c>
      <c r="O149" s="44">
        <f t="shared" si="13"/>
        <v>0</v>
      </c>
    </row>
    <row r="150" spans="1:15" x14ac:dyDescent="0.25">
      <c r="A150" s="24">
        <v>43221</v>
      </c>
      <c r="B150" s="39"/>
      <c r="C150" s="39"/>
      <c r="D150" s="39"/>
      <c r="E150" s="21"/>
      <c r="G150" s="46"/>
      <c r="H150" s="22">
        <f t="shared" si="10"/>
        <v>0</v>
      </c>
      <c r="I150" s="25">
        <f>'1 - Amortisation'!G121</f>
        <v>223574.35942382997</v>
      </c>
      <c r="J150" s="25">
        <f t="shared" si="11"/>
        <v>332.25691978484974</v>
      </c>
      <c r="M150" s="26" t="e">
        <f t="shared" si="12"/>
        <v>#DIV/0!</v>
      </c>
      <c r="N150" s="1">
        <f t="shared" si="7"/>
        <v>0</v>
      </c>
      <c r="O150" s="44">
        <f t="shared" si="13"/>
        <v>0</v>
      </c>
    </row>
    <row r="151" spans="1:15" x14ac:dyDescent="0.25">
      <c r="A151" s="24">
        <v>43252</v>
      </c>
      <c r="B151" s="39"/>
      <c r="C151" s="39"/>
      <c r="D151" s="39"/>
      <c r="E151" s="21"/>
      <c r="G151" s="46"/>
      <c r="H151" s="22">
        <f t="shared" si="10"/>
        <v>0</v>
      </c>
      <c r="I151" s="25">
        <f>'1 - Amortisation'!G122</f>
        <v>223239.61057714673</v>
      </c>
      <c r="J151" s="25">
        <f t="shared" si="11"/>
        <v>334.74884668324376</v>
      </c>
      <c r="M151" s="26" t="e">
        <f t="shared" si="12"/>
        <v>#DIV/0!</v>
      </c>
      <c r="N151" s="1">
        <f t="shared" si="7"/>
        <v>0</v>
      </c>
      <c r="O151" s="44">
        <f t="shared" si="13"/>
        <v>0</v>
      </c>
    </row>
    <row r="152" spans="1:15" x14ac:dyDescent="0.25">
      <c r="A152" s="24">
        <v>43282</v>
      </c>
      <c r="G152" s="46"/>
      <c r="H152" s="22">
        <f t="shared" si="10"/>
        <v>0</v>
      </c>
      <c r="I152" s="25">
        <f>'1 - Amortisation'!G123</f>
        <v>222902.35111411338</v>
      </c>
      <c r="J152" s="25">
        <f t="shared" si="11"/>
        <v>337.25946303334786</v>
      </c>
      <c r="M152" s="26" t="e">
        <f t="shared" si="12"/>
        <v>#DIV/0!</v>
      </c>
      <c r="N152" s="1">
        <f t="shared" ref="N152:N215" si="14">IF(F152&gt;0,F151-F152,0)</f>
        <v>0</v>
      </c>
      <c r="O152" s="44">
        <f t="shared" si="13"/>
        <v>0</v>
      </c>
    </row>
    <row r="153" spans="1:15" x14ac:dyDescent="0.25">
      <c r="A153" s="24">
        <v>43313</v>
      </c>
      <c r="G153" s="46"/>
      <c r="H153" s="22">
        <f t="shared" si="10"/>
        <v>0</v>
      </c>
      <c r="I153" s="25">
        <f>'1 - Amortisation'!G124</f>
        <v>222562.56220510727</v>
      </c>
      <c r="J153" s="25">
        <f t="shared" si="11"/>
        <v>339.78890900610713</v>
      </c>
      <c r="M153" s="26" t="e">
        <f t="shared" si="12"/>
        <v>#DIV/0!</v>
      </c>
      <c r="N153" s="1">
        <f t="shared" si="14"/>
        <v>0</v>
      </c>
      <c r="O153" s="44">
        <f t="shared" si="13"/>
        <v>0</v>
      </c>
    </row>
    <row r="154" spans="1:15" x14ac:dyDescent="0.25">
      <c r="A154" s="24">
        <v>43344</v>
      </c>
      <c r="G154" s="46"/>
      <c r="H154" s="22">
        <f t="shared" si="10"/>
        <v>0</v>
      </c>
      <c r="I154" s="25">
        <f>'1 - Amortisation'!G125</f>
        <v>222220.22487928363</v>
      </c>
      <c r="J154" s="25">
        <f t="shared" si="11"/>
        <v>342.33732582363882</v>
      </c>
      <c r="M154" s="26" t="e">
        <f t="shared" si="12"/>
        <v>#DIV/0!</v>
      </c>
      <c r="N154" s="1">
        <f t="shared" si="14"/>
        <v>0</v>
      </c>
      <c r="O154" s="44">
        <f t="shared" si="13"/>
        <v>0</v>
      </c>
    </row>
    <row r="155" spans="1:15" x14ac:dyDescent="0.25">
      <c r="A155" s="24">
        <v>43374</v>
      </c>
      <c r="G155" s="46"/>
      <c r="H155" s="22">
        <f t="shared" si="10"/>
        <v>0</v>
      </c>
      <c r="I155" s="25">
        <f>'1 - Amortisation'!G126</f>
        <v>221875.32002351631</v>
      </c>
      <c r="J155" s="25">
        <f t="shared" si="11"/>
        <v>344.90485576732317</v>
      </c>
      <c r="M155" s="26" t="e">
        <f t="shared" si="12"/>
        <v>#DIV/0!</v>
      </c>
      <c r="N155" s="1">
        <f t="shared" si="14"/>
        <v>0</v>
      </c>
      <c r="O155" s="44">
        <f t="shared" si="13"/>
        <v>0</v>
      </c>
    </row>
    <row r="156" spans="1:15" x14ac:dyDescent="0.25">
      <c r="A156" s="24">
        <v>43405</v>
      </c>
      <c r="G156" s="46"/>
      <c r="H156" s="22">
        <f t="shared" si="10"/>
        <v>0</v>
      </c>
      <c r="I156" s="25">
        <f>'1 - Amortisation'!G127</f>
        <v>221527.82838133074</v>
      </c>
      <c r="J156" s="25">
        <f t="shared" si="11"/>
        <v>347.49164218557416</v>
      </c>
      <c r="M156" s="26" t="e">
        <f t="shared" si="12"/>
        <v>#DIV/0!</v>
      </c>
      <c r="N156" s="1">
        <f t="shared" si="14"/>
        <v>0</v>
      </c>
      <c r="O156" s="44">
        <f t="shared" si="13"/>
        <v>0</v>
      </c>
    </row>
    <row r="157" spans="1:15" x14ac:dyDescent="0.25">
      <c r="A157" s="24">
        <v>43435</v>
      </c>
      <c r="G157" s="46"/>
      <c r="H157" s="22">
        <f t="shared" si="10"/>
        <v>0</v>
      </c>
      <c r="I157" s="25">
        <f>'1 - Amortisation'!G128</f>
        <v>221177.73055182875</v>
      </c>
      <c r="J157" s="25">
        <f t="shared" si="11"/>
        <v>350.0978295019886</v>
      </c>
      <c r="M157" s="26" t="e">
        <f t="shared" si="12"/>
        <v>#DIV/0!</v>
      </c>
      <c r="N157" s="1">
        <f t="shared" si="14"/>
        <v>0</v>
      </c>
      <c r="O157" s="44">
        <f t="shared" si="13"/>
        <v>0</v>
      </c>
    </row>
    <row r="158" spans="1:15" x14ac:dyDescent="0.25">
      <c r="A158" s="24">
        <v>43466</v>
      </c>
      <c r="G158" s="46"/>
      <c r="H158" s="22">
        <f t="shared" si="10"/>
        <v>0</v>
      </c>
      <c r="I158" s="25">
        <f>'1 - Amortisation'!G129</f>
        <v>220825.00698860551</v>
      </c>
      <c r="J158" s="25">
        <f t="shared" si="11"/>
        <v>352.72356322323321</v>
      </c>
      <c r="M158" s="26" t="e">
        <f t="shared" si="12"/>
        <v>#DIV/0!</v>
      </c>
      <c r="N158" s="1">
        <f t="shared" si="14"/>
        <v>0</v>
      </c>
      <c r="O158" s="44">
        <f t="shared" si="13"/>
        <v>0</v>
      </c>
    </row>
    <row r="159" spans="1:15" x14ac:dyDescent="0.25">
      <c r="A159" s="24">
        <v>43497</v>
      </c>
      <c r="G159" s="46"/>
      <c r="H159" s="22">
        <f t="shared" si="10"/>
        <v>0</v>
      </c>
      <c r="I159" s="25">
        <f>'1 - Amortisation'!G130</f>
        <v>220469.63799865809</v>
      </c>
      <c r="J159" s="25">
        <f t="shared" si="11"/>
        <v>355.3689899474266</v>
      </c>
      <c r="M159" s="26" t="e">
        <f t="shared" si="12"/>
        <v>#DIV/0!</v>
      </c>
      <c r="N159" s="1">
        <f t="shared" si="14"/>
        <v>0</v>
      </c>
      <c r="O159" s="44">
        <f t="shared" si="13"/>
        <v>0</v>
      </c>
    </row>
    <row r="160" spans="1:15" x14ac:dyDescent="0.25">
      <c r="A160" s="24">
        <v>43525</v>
      </c>
      <c r="G160" s="46"/>
      <c r="H160" s="22">
        <f t="shared" si="10"/>
        <v>0</v>
      </c>
      <c r="I160" s="25">
        <f>'1 - Amortisation'!G131</f>
        <v>220111.60374128606</v>
      </c>
      <c r="J160" s="25">
        <f t="shared" si="11"/>
        <v>358.03425737202633</v>
      </c>
      <c r="M160" s="26" t="e">
        <f t="shared" si="12"/>
        <v>#DIV/0!</v>
      </c>
      <c r="N160" s="1">
        <f t="shared" si="14"/>
        <v>0</v>
      </c>
      <c r="O160" s="44">
        <f t="shared" si="13"/>
        <v>0</v>
      </c>
    </row>
    <row r="161" spans="1:15" x14ac:dyDescent="0.25">
      <c r="A161" s="24">
        <v>43556</v>
      </c>
      <c r="G161" s="46"/>
      <c r="H161" s="22">
        <f t="shared" ref="H161:H224" si="15">F161/$F$31</f>
        <v>0</v>
      </c>
      <c r="I161" s="25">
        <f>'1 - Amortisation'!G132</f>
        <v>219750.88422698376</v>
      </c>
      <c r="J161" s="25">
        <f t="shared" ref="J161:J224" si="16">I160-I161</f>
        <v>360.71951430229819</v>
      </c>
      <c r="M161" s="26" t="e">
        <f t="shared" ref="M161:M224" si="17">B161/D161</f>
        <v>#DIV/0!</v>
      </c>
      <c r="N161" s="1">
        <f t="shared" si="14"/>
        <v>0</v>
      </c>
      <c r="O161" s="44">
        <f t="shared" si="13"/>
        <v>0</v>
      </c>
    </row>
    <row r="162" spans="1:15" x14ac:dyDescent="0.25">
      <c r="A162" s="24">
        <v>43586</v>
      </c>
      <c r="G162" s="46"/>
      <c r="H162" s="22">
        <f t="shared" si="15"/>
        <v>0</v>
      </c>
      <c r="I162" s="25">
        <f>'1 - Amortisation'!G133</f>
        <v>219387.45931632418</v>
      </c>
      <c r="J162" s="25">
        <f t="shared" si="16"/>
        <v>363.42491065958166</v>
      </c>
      <c r="M162" s="26" t="e">
        <f t="shared" si="17"/>
        <v>#DIV/0!</v>
      </c>
      <c r="N162" s="1">
        <f t="shared" si="14"/>
        <v>0</v>
      </c>
      <c r="O162" s="44">
        <f t="shared" si="13"/>
        <v>0</v>
      </c>
    </row>
    <row r="163" spans="1:15" x14ac:dyDescent="0.25">
      <c r="A163" s="24">
        <v>43617</v>
      </c>
      <c r="G163" s="46"/>
      <c r="H163" s="22">
        <f t="shared" si="15"/>
        <v>0</v>
      </c>
      <c r="I163" s="25">
        <f>'1 - Amortisation'!G134</f>
        <v>219021.30871883465</v>
      </c>
      <c r="J163" s="25">
        <f t="shared" si="16"/>
        <v>366.15059748952626</v>
      </c>
      <c r="M163" s="26" t="e">
        <f t="shared" si="17"/>
        <v>#DIV/0!</v>
      </c>
      <c r="N163" s="1">
        <f t="shared" si="14"/>
        <v>0</v>
      </c>
      <c r="O163" s="44">
        <f t="shared" ref="O163:O226" si="18">F163+G163</f>
        <v>0</v>
      </c>
    </row>
    <row r="164" spans="1:15" x14ac:dyDescent="0.25">
      <c r="A164" s="24">
        <v>43647</v>
      </c>
      <c r="G164" s="46"/>
      <c r="H164" s="22">
        <f t="shared" si="15"/>
        <v>0</v>
      </c>
      <c r="I164" s="25">
        <f>'1 - Amortisation'!G135</f>
        <v>218652.41199186395</v>
      </c>
      <c r="J164" s="25">
        <f t="shared" si="16"/>
        <v>368.89672697070637</v>
      </c>
      <c r="M164" s="26" t="e">
        <f t="shared" si="17"/>
        <v>#DIV/0!</v>
      </c>
      <c r="N164" s="1">
        <f t="shared" si="14"/>
        <v>0</v>
      </c>
      <c r="O164" s="44">
        <f t="shared" si="18"/>
        <v>0</v>
      </c>
    </row>
    <row r="165" spans="1:15" x14ac:dyDescent="0.25">
      <c r="A165" s="24">
        <v>43678</v>
      </c>
      <c r="G165" s="46"/>
      <c r="H165" s="22">
        <f t="shared" si="15"/>
        <v>0</v>
      </c>
      <c r="I165" s="25">
        <f>'1 - Amortisation'!G136</f>
        <v>218280.74853944097</v>
      </c>
      <c r="J165" s="25">
        <f t="shared" si="16"/>
        <v>371.66345242297393</v>
      </c>
      <c r="M165" s="26" t="e">
        <f t="shared" si="17"/>
        <v>#DIV/0!</v>
      </c>
      <c r="N165" s="1">
        <f t="shared" si="14"/>
        <v>0</v>
      </c>
      <c r="O165" s="44">
        <f t="shared" si="18"/>
        <v>0</v>
      </c>
    </row>
    <row r="166" spans="1:15" x14ac:dyDescent="0.25">
      <c r="A166" s="24">
        <v>43709</v>
      </c>
      <c r="G166" s="46"/>
      <c r="H166" s="22">
        <f t="shared" si="15"/>
        <v>0</v>
      </c>
      <c r="I166" s="25">
        <f>'1 - Amortisation'!G137</f>
        <v>217906.29761112481</v>
      </c>
      <c r="J166" s="25">
        <f t="shared" si="16"/>
        <v>374.45092831616057</v>
      </c>
      <c r="M166" s="26" t="e">
        <f t="shared" si="17"/>
        <v>#DIV/0!</v>
      </c>
      <c r="N166" s="1">
        <f t="shared" si="14"/>
        <v>0</v>
      </c>
      <c r="O166" s="44">
        <f t="shared" si="18"/>
        <v>0</v>
      </c>
    </row>
    <row r="167" spans="1:15" x14ac:dyDescent="0.25">
      <c r="A167" s="24">
        <v>43739</v>
      </c>
      <c r="G167" s="46"/>
      <c r="H167" s="22">
        <f t="shared" si="15"/>
        <v>0</v>
      </c>
      <c r="I167" s="25">
        <f>'1 - Amortisation'!G138</f>
        <v>217529.0383008463</v>
      </c>
      <c r="J167" s="25">
        <f t="shared" si="16"/>
        <v>377.25931027851766</v>
      </c>
      <c r="M167" s="26" t="e">
        <f t="shared" si="17"/>
        <v>#DIV/0!</v>
      </c>
      <c r="N167" s="1">
        <f t="shared" si="14"/>
        <v>0</v>
      </c>
      <c r="O167" s="44">
        <f t="shared" si="18"/>
        <v>0</v>
      </c>
    </row>
    <row r="168" spans="1:15" x14ac:dyDescent="0.25">
      <c r="A168" s="24">
        <v>43770</v>
      </c>
      <c r="G168" s="46"/>
      <c r="H168" s="22">
        <f t="shared" si="15"/>
        <v>0</v>
      </c>
      <c r="I168" s="25">
        <f>'1 - Amortisation'!G139</f>
        <v>217148.94954574067</v>
      </c>
      <c r="J168" s="25">
        <f t="shared" si="16"/>
        <v>380.08875510562211</v>
      </c>
      <c r="M168" s="26" t="e">
        <f t="shared" si="17"/>
        <v>#DIV/0!</v>
      </c>
      <c r="N168" s="1">
        <f t="shared" si="14"/>
        <v>0</v>
      </c>
      <c r="O168" s="44">
        <f t="shared" si="18"/>
        <v>0</v>
      </c>
    </row>
    <row r="169" spans="1:15" x14ac:dyDescent="0.25">
      <c r="A169" s="24">
        <v>43800</v>
      </c>
      <c r="G169" s="46"/>
      <c r="H169" s="22">
        <f t="shared" si="15"/>
        <v>0</v>
      </c>
      <c r="I169" s="25">
        <f>'1 - Amortisation'!G140</f>
        <v>216766.01012497177</v>
      </c>
      <c r="J169" s="25">
        <f t="shared" si="16"/>
        <v>382.9394207689038</v>
      </c>
      <c r="M169" s="26" t="e">
        <f t="shared" si="17"/>
        <v>#DIV/0!</v>
      </c>
      <c r="N169" s="1">
        <f t="shared" si="14"/>
        <v>0</v>
      </c>
      <c r="O169" s="44">
        <f t="shared" si="18"/>
        <v>0</v>
      </c>
    </row>
    <row r="170" spans="1:15" x14ac:dyDescent="0.25">
      <c r="A170" s="24">
        <v>43831</v>
      </c>
      <c r="G170" s="46"/>
      <c r="H170" s="22">
        <f t="shared" si="15"/>
        <v>0</v>
      </c>
      <c r="I170" s="25">
        <f>'1 - Amortisation'!G141</f>
        <v>216380.1986585471</v>
      </c>
      <c r="J170" s="25">
        <f t="shared" si="16"/>
        <v>385.81146642466774</v>
      </c>
      <c r="M170" s="26" t="e">
        <f t="shared" si="17"/>
        <v>#DIV/0!</v>
      </c>
      <c r="N170" s="1">
        <f t="shared" si="14"/>
        <v>0</v>
      </c>
      <c r="O170" s="44">
        <f t="shared" si="18"/>
        <v>0</v>
      </c>
    </row>
    <row r="171" spans="1:15" x14ac:dyDescent="0.25">
      <c r="A171" s="24">
        <v>43862</v>
      </c>
      <c r="G171" s="46"/>
      <c r="H171" s="22">
        <f t="shared" si="15"/>
        <v>0</v>
      </c>
      <c r="I171" s="25">
        <f>'1 - Amortisation'!G142</f>
        <v>215991.49360612425</v>
      </c>
      <c r="J171" s="25">
        <f t="shared" si="16"/>
        <v>388.70505242285435</v>
      </c>
      <c r="M171" s="26" t="e">
        <f t="shared" si="17"/>
        <v>#DIV/0!</v>
      </c>
      <c r="N171" s="1">
        <f t="shared" si="14"/>
        <v>0</v>
      </c>
      <c r="O171" s="44">
        <f t="shared" si="18"/>
        <v>0</v>
      </c>
    </row>
    <row r="172" spans="1:15" x14ac:dyDescent="0.25">
      <c r="A172" s="24">
        <v>43891</v>
      </c>
      <c r="G172" s="46"/>
      <c r="H172" s="22">
        <f t="shared" si="15"/>
        <v>0</v>
      </c>
      <c r="I172" s="25">
        <f>'1 - Amortisation'!G143</f>
        <v>215599.87326580822</v>
      </c>
      <c r="J172" s="25">
        <f t="shared" si="16"/>
        <v>391.62034031603253</v>
      </c>
      <c r="M172" s="26" t="e">
        <f t="shared" si="17"/>
        <v>#DIV/0!</v>
      </c>
      <c r="N172" s="1">
        <f t="shared" si="14"/>
        <v>0</v>
      </c>
      <c r="O172" s="44">
        <f t="shared" si="18"/>
        <v>0</v>
      </c>
    </row>
    <row r="173" spans="1:15" x14ac:dyDescent="0.25">
      <c r="A173" s="24">
        <v>43922</v>
      </c>
      <c r="G173" s="46"/>
      <c r="H173" s="22">
        <f t="shared" si="15"/>
        <v>0</v>
      </c>
      <c r="I173" s="25">
        <f>'1 - Amortisation'!G144</f>
        <v>215205.31577293982</v>
      </c>
      <c r="J173" s="25">
        <f t="shared" si="16"/>
        <v>394.55749286839273</v>
      </c>
      <c r="M173" s="26" t="e">
        <f t="shared" si="17"/>
        <v>#DIV/0!</v>
      </c>
      <c r="N173" s="1">
        <f t="shared" si="14"/>
        <v>0</v>
      </c>
      <c r="O173" s="44">
        <f t="shared" si="18"/>
        <v>0</v>
      </c>
    </row>
    <row r="174" spans="1:15" x14ac:dyDescent="0.25">
      <c r="A174" s="24">
        <v>43952</v>
      </c>
      <c r="G174" s="46"/>
      <c r="H174" s="22">
        <f t="shared" si="15"/>
        <v>0</v>
      </c>
      <c r="I174" s="25">
        <f>'1 - Amortisation'!G145</f>
        <v>214807.79909887491</v>
      </c>
      <c r="J174" s="25">
        <f t="shared" si="16"/>
        <v>397.5166740649147</v>
      </c>
      <c r="M174" s="26" t="e">
        <f t="shared" si="17"/>
        <v>#DIV/0!</v>
      </c>
      <c r="N174" s="1">
        <f t="shared" si="14"/>
        <v>0</v>
      </c>
      <c r="O174" s="44">
        <f t="shared" si="18"/>
        <v>0</v>
      </c>
    </row>
    <row r="175" spans="1:15" x14ac:dyDescent="0.25">
      <c r="A175" s="24">
        <v>43983</v>
      </c>
      <c r="G175" s="46"/>
      <c r="H175" s="22">
        <f t="shared" si="15"/>
        <v>0</v>
      </c>
      <c r="I175" s="25">
        <f>'1 - Amortisation'!G146</f>
        <v>214407.30104975452</v>
      </c>
      <c r="J175" s="25">
        <f t="shared" si="16"/>
        <v>400.49804912038962</v>
      </c>
      <c r="M175" s="26" t="e">
        <f t="shared" si="17"/>
        <v>#DIV/0!</v>
      </c>
      <c r="N175" s="1">
        <f t="shared" si="14"/>
        <v>0</v>
      </c>
      <c r="O175" s="44">
        <f t="shared" si="18"/>
        <v>0</v>
      </c>
    </row>
    <row r="176" spans="1:15" x14ac:dyDescent="0.25">
      <c r="A176" s="24">
        <v>44013</v>
      </c>
      <c r="G176" s="46"/>
      <c r="H176" s="22">
        <f t="shared" si="15"/>
        <v>0</v>
      </c>
      <c r="I176" s="25">
        <f>'1 - Amortisation'!G147</f>
        <v>214003.79926526573</v>
      </c>
      <c r="J176" s="25">
        <f t="shared" si="16"/>
        <v>403.5017844887916</v>
      </c>
      <c r="M176" s="26" t="e">
        <f t="shared" si="17"/>
        <v>#DIV/0!</v>
      </c>
      <c r="N176" s="1">
        <f t="shared" si="14"/>
        <v>0</v>
      </c>
      <c r="O176" s="44">
        <f t="shared" si="18"/>
        <v>0</v>
      </c>
    </row>
    <row r="177" spans="1:15" x14ac:dyDescent="0.25">
      <c r="A177" s="24">
        <v>44044</v>
      </c>
      <c r="G177" s="46"/>
      <c r="H177" s="22">
        <f t="shared" si="15"/>
        <v>0</v>
      </c>
      <c r="I177" s="25">
        <f>'1 - Amortisation'!G148</f>
        <v>213597.27121739325</v>
      </c>
      <c r="J177" s="25">
        <f t="shared" si="16"/>
        <v>406.52804787247442</v>
      </c>
      <c r="M177" s="26" t="e">
        <f t="shared" si="17"/>
        <v>#DIV/0!</v>
      </c>
      <c r="N177" s="1">
        <f t="shared" si="14"/>
        <v>0</v>
      </c>
      <c r="O177" s="44">
        <f t="shared" si="18"/>
        <v>0</v>
      </c>
    </row>
    <row r="178" spans="1:15" x14ac:dyDescent="0.25">
      <c r="A178" s="24">
        <v>44075</v>
      </c>
      <c r="G178" s="46"/>
      <c r="H178" s="22">
        <f t="shared" si="15"/>
        <v>0</v>
      </c>
      <c r="I178" s="25">
        <f>'1 - Amortisation'!G149</f>
        <v>213187.69420916174</v>
      </c>
      <c r="J178" s="25">
        <f t="shared" si="16"/>
        <v>409.5770082315139</v>
      </c>
      <c r="M178" s="26" t="e">
        <f t="shared" si="17"/>
        <v>#DIV/0!</v>
      </c>
      <c r="N178" s="1">
        <f t="shared" si="14"/>
        <v>0</v>
      </c>
      <c r="O178" s="44">
        <f t="shared" si="18"/>
        <v>0</v>
      </c>
    </row>
    <row r="179" spans="1:15" x14ac:dyDescent="0.25">
      <c r="A179" s="24">
        <v>44105</v>
      </c>
      <c r="G179" s="46"/>
      <c r="H179" s="22">
        <f t="shared" si="15"/>
        <v>0</v>
      </c>
      <c r="I179" s="25">
        <f>'1 - Amortisation'!G150</f>
        <v>212775.04537336848</v>
      </c>
      <c r="J179" s="25">
        <f t="shared" si="16"/>
        <v>412.64883579325397</v>
      </c>
      <c r="M179" s="26" t="e">
        <f t="shared" si="17"/>
        <v>#DIV/0!</v>
      </c>
      <c r="N179" s="1">
        <f t="shared" si="14"/>
        <v>0</v>
      </c>
      <c r="O179" s="44">
        <f t="shared" si="18"/>
        <v>0</v>
      </c>
    </row>
    <row r="180" spans="1:15" x14ac:dyDescent="0.25">
      <c r="A180" s="24">
        <v>44136</v>
      </c>
      <c r="G180" s="46"/>
      <c r="H180" s="22">
        <f t="shared" si="15"/>
        <v>0</v>
      </c>
      <c r="I180" s="25">
        <f>'1 - Amortisation'!G151</f>
        <v>212359.30167130681</v>
      </c>
      <c r="J180" s="25">
        <f t="shared" si="16"/>
        <v>415.74370206167805</v>
      </c>
      <c r="M180" s="26" t="e">
        <f t="shared" si="17"/>
        <v>#DIV/0!</v>
      </c>
      <c r="N180" s="1">
        <f t="shared" si="14"/>
        <v>0</v>
      </c>
      <c r="O180" s="44">
        <f t="shared" si="18"/>
        <v>0</v>
      </c>
    </row>
    <row r="181" spans="1:15" x14ac:dyDescent="0.25">
      <c r="A181" s="24">
        <v>44166</v>
      </c>
      <c r="G181" s="46"/>
      <c r="H181" s="22">
        <f t="shared" si="15"/>
        <v>0</v>
      </c>
      <c r="I181" s="25">
        <f>'1 - Amortisation'!G152</f>
        <v>211940.43989147965</v>
      </c>
      <c r="J181" s="25">
        <f t="shared" si="16"/>
        <v>418.8617798271589</v>
      </c>
      <c r="M181" s="26" t="e">
        <f t="shared" si="17"/>
        <v>#DIV/0!</v>
      </c>
      <c r="N181" s="1">
        <f t="shared" si="14"/>
        <v>0</v>
      </c>
      <c r="O181" s="44">
        <f t="shared" si="18"/>
        <v>0</v>
      </c>
    </row>
    <row r="182" spans="1:15" x14ac:dyDescent="0.25">
      <c r="A182" s="24">
        <v>44197</v>
      </c>
      <c r="G182" s="46"/>
      <c r="H182" s="22">
        <f t="shared" si="15"/>
        <v>0</v>
      </c>
      <c r="I182" s="25">
        <f>'1 - Amortisation'!G153</f>
        <v>211518.43664830379</v>
      </c>
      <c r="J182" s="25">
        <f t="shared" si="16"/>
        <v>422.0032431758591</v>
      </c>
      <c r="M182" s="26" t="e">
        <f t="shared" si="17"/>
        <v>#DIV/0!</v>
      </c>
      <c r="N182" s="1">
        <f t="shared" si="14"/>
        <v>0</v>
      </c>
      <c r="O182" s="44">
        <f t="shared" si="18"/>
        <v>0</v>
      </c>
    </row>
    <row r="183" spans="1:15" x14ac:dyDescent="0.25">
      <c r="A183" s="24">
        <v>44228</v>
      </c>
      <c r="G183" s="46"/>
      <c r="H183" s="22">
        <f t="shared" si="15"/>
        <v>0</v>
      </c>
      <c r="I183" s="25">
        <f>'1 - Amortisation'!G154</f>
        <v>211093.2683808041</v>
      </c>
      <c r="J183" s="25">
        <f t="shared" si="16"/>
        <v>425.16826749968459</v>
      </c>
      <c r="M183" s="26" t="e">
        <f t="shared" si="17"/>
        <v>#DIV/0!</v>
      </c>
      <c r="N183" s="1">
        <f t="shared" si="14"/>
        <v>0</v>
      </c>
      <c r="O183" s="44">
        <f t="shared" si="18"/>
        <v>0</v>
      </c>
    </row>
    <row r="184" spans="1:15" x14ac:dyDescent="0.25">
      <c r="A184" s="24">
        <v>44256</v>
      </c>
      <c r="G184" s="46"/>
      <c r="H184" s="22">
        <f t="shared" si="15"/>
        <v>0</v>
      </c>
      <c r="I184" s="25">
        <f>'1 - Amortisation'!G155</f>
        <v>210664.91135129819</v>
      </c>
      <c r="J184" s="25">
        <f t="shared" si="16"/>
        <v>428.35702950591804</v>
      </c>
      <c r="M184" s="26" t="e">
        <f t="shared" si="17"/>
        <v>#DIV/0!</v>
      </c>
      <c r="N184" s="1">
        <f t="shared" si="14"/>
        <v>0</v>
      </c>
      <c r="O184" s="44">
        <f t="shared" si="18"/>
        <v>0</v>
      </c>
    </row>
    <row r="185" spans="1:15" x14ac:dyDescent="0.25">
      <c r="A185" s="24">
        <v>44287</v>
      </c>
      <c r="G185" s="46"/>
      <c r="H185" s="22">
        <f t="shared" si="15"/>
        <v>0</v>
      </c>
      <c r="I185" s="25">
        <f>'1 - Amortisation'!G156</f>
        <v>210233.34164407096</v>
      </c>
      <c r="J185" s="25">
        <f t="shared" si="16"/>
        <v>431.56970722723054</v>
      </c>
      <c r="M185" s="26" t="e">
        <f t="shared" si="17"/>
        <v>#DIV/0!</v>
      </c>
      <c r="N185" s="1">
        <f t="shared" si="14"/>
        <v>0</v>
      </c>
      <c r="O185" s="44">
        <f t="shared" si="18"/>
        <v>0</v>
      </c>
    </row>
    <row r="186" spans="1:15" x14ac:dyDescent="0.25">
      <c r="A186" s="24">
        <v>44317</v>
      </c>
      <c r="G186" s="46"/>
      <c r="H186" s="22">
        <f t="shared" si="15"/>
        <v>0</v>
      </c>
      <c r="I186" s="25">
        <f>'1 - Amortisation'!G157</f>
        <v>209798.53516403952</v>
      </c>
      <c r="J186" s="25">
        <f t="shared" si="16"/>
        <v>434.80648003143142</v>
      </c>
      <c r="M186" s="26" t="e">
        <f t="shared" si="17"/>
        <v>#DIV/0!</v>
      </c>
      <c r="N186" s="1">
        <f t="shared" si="14"/>
        <v>0</v>
      </c>
      <c r="O186" s="44">
        <f t="shared" si="18"/>
        <v>0</v>
      </c>
    </row>
    <row r="187" spans="1:15" x14ac:dyDescent="0.25">
      <c r="A187" s="24">
        <v>44348</v>
      </c>
      <c r="G187" s="46"/>
      <c r="H187" s="22">
        <f t="shared" si="15"/>
        <v>0</v>
      </c>
      <c r="I187" s="25">
        <f>'1 - Amortisation'!G158</f>
        <v>209360.46763540787</v>
      </c>
      <c r="J187" s="25">
        <f t="shared" si="16"/>
        <v>438.06752863165457</v>
      </c>
      <c r="M187" s="26" t="e">
        <f t="shared" si="17"/>
        <v>#DIV/0!</v>
      </c>
      <c r="N187" s="1">
        <f t="shared" si="14"/>
        <v>0</v>
      </c>
      <c r="O187" s="44">
        <f t="shared" si="18"/>
        <v>0</v>
      </c>
    </row>
    <row r="188" spans="1:15" x14ac:dyDescent="0.25">
      <c r="A188" s="24">
        <v>44378</v>
      </c>
      <c r="G188" s="46"/>
      <c r="H188" s="22">
        <f t="shared" si="15"/>
        <v>0</v>
      </c>
      <c r="I188" s="25">
        <f>'1 - Amortisation'!G159</f>
        <v>208919.11460031147</v>
      </c>
      <c r="J188" s="25">
        <f t="shared" si="16"/>
        <v>441.35303509639925</v>
      </c>
      <c r="M188" s="26" t="e">
        <f t="shared" si="17"/>
        <v>#DIV/0!</v>
      </c>
      <c r="N188" s="1">
        <f t="shared" si="14"/>
        <v>0</v>
      </c>
      <c r="O188" s="44">
        <f t="shared" si="18"/>
        <v>0</v>
      </c>
    </row>
    <row r="189" spans="1:15" x14ac:dyDescent="0.25">
      <c r="A189" s="24">
        <v>44409</v>
      </c>
      <c r="G189" s="46"/>
      <c r="H189" s="22">
        <f t="shared" si="15"/>
        <v>0</v>
      </c>
      <c r="I189" s="25">
        <f>'1 - Amortisation'!G160</f>
        <v>208474.45141745184</v>
      </c>
      <c r="J189" s="25">
        <f t="shared" si="16"/>
        <v>444.66318285962916</v>
      </c>
      <c r="M189" s="26" t="e">
        <f t="shared" si="17"/>
        <v>#DIV/0!</v>
      </c>
      <c r="N189" s="1">
        <f t="shared" si="14"/>
        <v>0</v>
      </c>
      <c r="O189" s="44">
        <f t="shared" si="18"/>
        <v>0</v>
      </c>
    </row>
    <row r="190" spans="1:15" x14ac:dyDescent="0.25">
      <c r="A190" s="24">
        <v>44440</v>
      </c>
      <c r="G190" s="46"/>
      <c r="H190" s="22">
        <f t="shared" si="15"/>
        <v>0</v>
      </c>
      <c r="I190" s="25">
        <f>'1 - Amortisation'!G161</f>
        <v>208026.45326072077</v>
      </c>
      <c r="J190" s="25">
        <f t="shared" si="16"/>
        <v>447.99815673107514</v>
      </c>
      <c r="M190" s="26" t="e">
        <f t="shared" si="17"/>
        <v>#DIV/0!</v>
      </c>
      <c r="N190" s="1">
        <f t="shared" si="14"/>
        <v>0</v>
      </c>
      <c r="O190" s="44">
        <f t="shared" si="18"/>
        <v>0</v>
      </c>
    </row>
    <row r="191" spans="1:15" x14ac:dyDescent="0.25">
      <c r="A191" s="24">
        <v>44470</v>
      </c>
      <c r="G191" s="46"/>
      <c r="H191" s="22">
        <f t="shared" si="15"/>
        <v>0</v>
      </c>
      <c r="I191" s="25">
        <f>'1 - Amortisation'!G162</f>
        <v>207575.09511781423</v>
      </c>
      <c r="J191" s="25">
        <f t="shared" si="16"/>
        <v>451.35814290653798</v>
      </c>
      <c r="M191" s="26" t="e">
        <f t="shared" si="17"/>
        <v>#DIV/0!</v>
      </c>
      <c r="N191" s="1">
        <f t="shared" si="14"/>
        <v>0</v>
      </c>
      <c r="O191" s="44">
        <f t="shared" si="18"/>
        <v>0</v>
      </c>
    </row>
    <row r="192" spans="1:15" x14ac:dyDescent="0.25">
      <c r="A192" s="24">
        <v>44501</v>
      </c>
      <c r="G192" s="46"/>
      <c r="H192" s="22">
        <f t="shared" si="15"/>
        <v>0</v>
      </c>
      <c r="I192" s="25">
        <f>'1 - Amortisation'!G163</f>
        <v>207120.35178883589</v>
      </c>
      <c r="J192" s="25">
        <f t="shared" si="16"/>
        <v>454.74332897833665</v>
      </c>
      <c r="M192" s="26" t="e">
        <f t="shared" si="17"/>
        <v>#DIV/0!</v>
      </c>
      <c r="N192" s="1">
        <f t="shared" si="14"/>
        <v>0</v>
      </c>
      <c r="O192" s="44">
        <f t="shared" si="18"/>
        <v>0</v>
      </c>
    </row>
    <row r="193" spans="1:15" x14ac:dyDescent="0.25">
      <c r="A193" s="24">
        <v>44531</v>
      </c>
      <c r="G193" s="46"/>
      <c r="H193" s="22">
        <f t="shared" si="15"/>
        <v>0</v>
      </c>
      <c r="I193" s="25">
        <f>'1 - Amortisation'!G164</f>
        <v>206662.19788489019</v>
      </c>
      <c r="J193" s="25">
        <f t="shared" si="16"/>
        <v>458.1539039456984</v>
      </c>
      <c r="M193" s="26" t="e">
        <f t="shared" si="17"/>
        <v>#DIV/0!</v>
      </c>
      <c r="N193" s="1">
        <f t="shared" si="14"/>
        <v>0</v>
      </c>
      <c r="O193" s="44">
        <f t="shared" si="18"/>
        <v>0</v>
      </c>
    </row>
    <row r="194" spans="1:15" x14ac:dyDescent="0.25">
      <c r="A194" s="24">
        <v>44562</v>
      </c>
      <c r="G194" s="46"/>
      <c r="H194" s="22">
        <f t="shared" si="15"/>
        <v>0</v>
      </c>
      <c r="I194" s="25">
        <f>'1 - Amortisation'!G165</f>
        <v>206200.60782666493</v>
      </c>
      <c r="J194" s="25">
        <f t="shared" si="16"/>
        <v>461.59005822526524</v>
      </c>
      <c r="M194" s="26" t="e">
        <f t="shared" si="17"/>
        <v>#DIV/0!</v>
      </c>
      <c r="N194" s="1">
        <f t="shared" si="14"/>
        <v>0</v>
      </c>
      <c r="O194" s="44">
        <f t="shared" si="18"/>
        <v>0</v>
      </c>
    </row>
    <row r="195" spans="1:15" x14ac:dyDescent="0.25">
      <c r="A195" s="24">
        <v>44593</v>
      </c>
      <c r="G195" s="46"/>
      <c r="H195" s="22">
        <f t="shared" si="15"/>
        <v>0</v>
      </c>
      <c r="I195" s="25">
        <f>'1 - Amortisation'!G166</f>
        <v>205735.55584300295</v>
      </c>
      <c r="J195" s="25">
        <f t="shared" si="16"/>
        <v>465.05198366197874</v>
      </c>
      <c r="M195" s="26" t="e">
        <f t="shared" si="17"/>
        <v>#DIV/0!</v>
      </c>
      <c r="N195" s="1">
        <f t="shared" si="14"/>
        <v>0</v>
      </c>
      <c r="O195" s="44">
        <f t="shared" si="18"/>
        <v>0</v>
      </c>
    </row>
    <row r="196" spans="1:15" x14ac:dyDescent="0.25">
      <c r="A196" s="24">
        <v>44621</v>
      </c>
      <c r="G196" s="46"/>
      <c r="H196" s="22">
        <f t="shared" si="15"/>
        <v>0</v>
      </c>
      <c r="I196" s="25">
        <f>'1 - Amortisation'!G167</f>
        <v>205267.01596946351</v>
      </c>
      <c r="J196" s="25">
        <f t="shared" si="16"/>
        <v>468.53987353944103</v>
      </c>
      <c r="M196" s="26" t="e">
        <f t="shared" si="17"/>
        <v>#DIV/0!</v>
      </c>
      <c r="N196" s="1">
        <f t="shared" si="14"/>
        <v>0</v>
      </c>
      <c r="O196" s="44">
        <f t="shared" si="18"/>
        <v>0</v>
      </c>
    </row>
    <row r="197" spans="1:15" x14ac:dyDescent="0.25">
      <c r="A197" s="24">
        <v>44652</v>
      </c>
      <c r="G197" s="46"/>
      <c r="H197" s="22">
        <f t="shared" si="15"/>
        <v>0</v>
      </c>
      <c r="I197" s="25">
        <f>'1 - Amortisation'!G168</f>
        <v>204794.96204687253</v>
      </c>
      <c r="J197" s="25">
        <f t="shared" si="16"/>
        <v>472.05392259097425</v>
      </c>
      <c r="M197" s="26" t="e">
        <f t="shared" si="17"/>
        <v>#DIV/0!</v>
      </c>
      <c r="N197" s="1">
        <f t="shared" si="14"/>
        <v>0</v>
      </c>
      <c r="O197" s="44">
        <f t="shared" si="18"/>
        <v>0</v>
      </c>
    </row>
    <row r="198" spans="1:15" x14ac:dyDescent="0.25">
      <c r="A198" s="24">
        <v>44682</v>
      </c>
      <c r="G198" s="46"/>
      <c r="H198" s="22">
        <f t="shared" si="15"/>
        <v>0</v>
      </c>
      <c r="I198" s="25">
        <f>'1 - Amortisation'!G169</f>
        <v>204319.36771986212</v>
      </c>
      <c r="J198" s="25">
        <f t="shared" si="16"/>
        <v>475.59432701041806</v>
      </c>
      <c r="M198" s="26" t="e">
        <f t="shared" si="17"/>
        <v>#DIV/0!</v>
      </c>
      <c r="N198" s="1">
        <f t="shared" si="14"/>
        <v>0</v>
      </c>
      <c r="O198" s="44">
        <f t="shared" si="18"/>
        <v>0</v>
      </c>
    </row>
    <row r="199" spans="1:15" x14ac:dyDescent="0.25">
      <c r="A199" s="24">
        <v>44713</v>
      </c>
      <c r="G199" s="46"/>
      <c r="H199" s="22">
        <f t="shared" si="15"/>
        <v>0</v>
      </c>
      <c r="I199" s="25">
        <f>'1 - Amortisation'!G170</f>
        <v>203840.20643539913</v>
      </c>
      <c r="J199" s="25">
        <f t="shared" si="16"/>
        <v>479.16128446298535</v>
      </c>
      <c r="M199" s="26" t="e">
        <f t="shared" si="17"/>
        <v>#DIV/0!</v>
      </c>
      <c r="N199" s="1">
        <f t="shared" si="14"/>
        <v>0</v>
      </c>
      <c r="O199" s="44">
        <f t="shared" si="18"/>
        <v>0</v>
      </c>
    </row>
    <row r="200" spans="1:15" x14ac:dyDescent="0.25">
      <c r="A200" s="24">
        <v>44743</v>
      </c>
      <c r="G200" s="46"/>
      <c r="H200" s="22">
        <f t="shared" si="15"/>
        <v>0</v>
      </c>
      <c r="I200" s="25">
        <f>'1 - Amortisation'!G171</f>
        <v>203357.45144130266</v>
      </c>
      <c r="J200" s="25">
        <f t="shared" si="16"/>
        <v>482.75499409646727</v>
      </c>
      <c r="M200" s="26" t="e">
        <f t="shared" si="17"/>
        <v>#DIV/0!</v>
      </c>
      <c r="N200" s="1">
        <f t="shared" si="14"/>
        <v>0</v>
      </c>
      <c r="O200" s="44">
        <f t="shared" si="18"/>
        <v>0</v>
      </c>
    </row>
    <row r="201" spans="1:15" x14ac:dyDescent="0.25">
      <c r="A201" s="24">
        <v>44774</v>
      </c>
      <c r="G201" s="46"/>
      <c r="H201" s="22">
        <f t="shared" si="15"/>
        <v>0</v>
      </c>
      <c r="I201" s="25">
        <f>'1 - Amortisation'!G172</f>
        <v>202871.07578475049</v>
      </c>
      <c r="J201" s="25">
        <f t="shared" si="16"/>
        <v>486.37565655217622</v>
      </c>
      <c r="M201" s="26" t="e">
        <f t="shared" si="17"/>
        <v>#DIV/0!</v>
      </c>
      <c r="N201" s="1">
        <f t="shared" si="14"/>
        <v>0</v>
      </c>
      <c r="O201" s="44">
        <f t="shared" si="18"/>
        <v>0</v>
      </c>
    </row>
    <row r="202" spans="1:15" x14ac:dyDescent="0.25">
      <c r="A202" s="24">
        <v>44805</v>
      </c>
      <c r="G202" s="46"/>
      <c r="H202" s="22">
        <f t="shared" si="15"/>
        <v>0</v>
      </c>
      <c r="I202" s="25">
        <f>'1 - Amortisation'!G173</f>
        <v>202381.05231077416</v>
      </c>
      <c r="J202" s="25">
        <f t="shared" si="16"/>
        <v>490.02347397632548</v>
      </c>
      <c r="M202" s="26" t="e">
        <f t="shared" si="17"/>
        <v>#DIV/0!</v>
      </c>
      <c r="N202" s="1">
        <f t="shared" si="14"/>
        <v>0</v>
      </c>
      <c r="O202" s="44">
        <f t="shared" si="18"/>
        <v>0</v>
      </c>
    </row>
    <row r="203" spans="1:15" x14ac:dyDescent="0.25">
      <c r="A203" s="24">
        <v>44835</v>
      </c>
      <c r="G203" s="46"/>
      <c r="H203" s="22">
        <f t="shared" si="15"/>
        <v>0</v>
      </c>
      <c r="I203" s="25">
        <f>'1 - Amortisation'!G174</f>
        <v>201887.35366074301</v>
      </c>
      <c r="J203" s="25">
        <f t="shared" si="16"/>
        <v>493.69865003114683</v>
      </c>
      <c r="M203" s="26" t="e">
        <f t="shared" si="17"/>
        <v>#DIV/0!</v>
      </c>
      <c r="N203" s="1">
        <f t="shared" si="14"/>
        <v>0</v>
      </c>
      <c r="O203" s="44">
        <f t="shared" si="18"/>
        <v>0</v>
      </c>
    </row>
    <row r="204" spans="1:15" x14ac:dyDescent="0.25">
      <c r="A204" s="24">
        <v>44866</v>
      </c>
      <c r="G204" s="46"/>
      <c r="H204" s="22">
        <f t="shared" si="15"/>
        <v>0</v>
      </c>
      <c r="I204" s="25">
        <f>'1 - Amortisation'!G175</f>
        <v>201389.95227083663</v>
      </c>
      <c r="J204" s="25">
        <f t="shared" si="16"/>
        <v>497.40138990638661</v>
      </c>
      <c r="M204" s="26" t="e">
        <f t="shared" si="17"/>
        <v>#DIV/0!</v>
      </c>
      <c r="N204" s="1">
        <f t="shared" si="14"/>
        <v>0</v>
      </c>
      <c r="O204" s="44">
        <f t="shared" si="18"/>
        <v>0</v>
      </c>
    </row>
    <row r="205" spans="1:15" x14ac:dyDescent="0.25">
      <c r="A205" s="24">
        <v>44896</v>
      </c>
      <c r="G205" s="46"/>
      <c r="H205" s="22">
        <f t="shared" si="15"/>
        <v>0</v>
      </c>
      <c r="I205" s="25">
        <f>'1 - Amortisation'!G176</f>
        <v>200888.82037050594</v>
      </c>
      <c r="J205" s="25">
        <f t="shared" si="16"/>
        <v>501.13190033068531</v>
      </c>
      <c r="M205" s="26" t="e">
        <f t="shared" si="17"/>
        <v>#DIV/0!</v>
      </c>
      <c r="N205" s="1">
        <f t="shared" si="14"/>
        <v>0</v>
      </c>
      <c r="O205" s="44">
        <f t="shared" si="18"/>
        <v>0</v>
      </c>
    </row>
    <row r="206" spans="1:15" x14ac:dyDescent="0.25">
      <c r="A206" s="24">
        <v>44927</v>
      </c>
      <c r="G206" s="46"/>
      <c r="H206" s="22">
        <f t="shared" si="15"/>
        <v>0</v>
      </c>
      <c r="I206" s="25">
        <f>'1 - Amortisation'!G177</f>
        <v>200383.92998092278</v>
      </c>
      <c r="J206" s="25">
        <f t="shared" si="16"/>
        <v>504.89038958316087</v>
      </c>
      <c r="M206" s="26" t="e">
        <f t="shared" si="17"/>
        <v>#DIV/0!</v>
      </c>
      <c r="N206" s="1">
        <f t="shared" si="14"/>
        <v>0</v>
      </c>
      <c r="O206" s="44">
        <f t="shared" si="18"/>
        <v>0</v>
      </c>
    </row>
    <row r="207" spans="1:15" x14ac:dyDescent="0.25">
      <c r="A207" s="24">
        <v>44958</v>
      </c>
      <c r="G207" s="46"/>
      <c r="H207" s="22">
        <f t="shared" si="15"/>
        <v>0</v>
      </c>
      <c r="I207" s="25">
        <f>'1 - Amortisation'!G178</f>
        <v>199875.25291341776</v>
      </c>
      <c r="J207" s="25">
        <f t="shared" si="16"/>
        <v>508.67706750502111</v>
      </c>
      <c r="M207" s="26" t="e">
        <f t="shared" si="17"/>
        <v>#DIV/0!</v>
      </c>
      <c r="N207" s="1">
        <f t="shared" si="14"/>
        <v>0</v>
      </c>
      <c r="O207" s="44">
        <f t="shared" si="18"/>
        <v>0</v>
      </c>
    </row>
    <row r="208" spans="1:15" x14ac:dyDescent="0.25">
      <c r="A208" s="24">
        <v>44986</v>
      </c>
      <c r="G208" s="46"/>
      <c r="H208" s="22">
        <f t="shared" si="15"/>
        <v>0</v>
      </c>
      <c r="I208" s="25">
        <f>'1 - Amortisation'!G179</f>
        <v>199362.76076790644</v>
      </c>
      <c r="J208" s="25">
        <f t="shared" si="16"/>
        <v>512.49214551132172</v>
      </c>
      <c r="M208" s="26" t="e">
        <f t="shared" si="17"/>
        <v>#DIV/0!</v>
      </c>
      <c r="N208" s="1">
        <f t="shared" si="14"/>
        <v>0</v>
      </c>
      <c r="O208" s="44">
        <f t="shared" si="18"/>
        <v>0</v>
      </c>
    </row>
    <row r="209" spans="1:15" x14ac:dyDescent="0.25">
      <c r="A209" s="24">
        <v>45017</v>
      </c>
      <c r="G209" s="46"/>
      <c r="H209" s="22">
        <f t="shared" si="15"/>
        <v>0</v>
      </c>
      <c r="I209" s="25">
        <f>'1 - Amortisation'!G180</f>
        <v>198846.42493130377</v>
      </c>
      <c r="J209" s="25">
        <f t="shared" si="16"/>
        <v>516.33583660266595</v>
      </c>
      <c r="M209" s="26" t="e">
        <f t="shared" si="17"/>
        <v>#DIV/0!</v>
      </c>
      <c r="N209" s="1">
        <f t="shared" si="14"/>
        <v>0</v>
      </c>
      <c r="O209" s="44">
        <f t="shared" si="18"/>
        <v>0</v>
      </c>
    </row>
    <row r="210" spans="1:15" x14ac:dyDescent="0.25">
      <c r="A210" s="24">
        <v>45047</v>
      </c>
      <c r="G210" s="46"/>
      <c r="H210" s="22">
        <f t="shared" si="15"/>
        <v>0</v>
      </c>
      <c r="I210" s="25">
        <f>'1 - Amortisation'!G181</f>
        <v>198326.21657592661</v>
      </c>
      <c r="J210" s="25">
        <f t="shared" si="16"/>
        <v>520.2083553771663</v>
      </c>
      <c r="M210" s="26" t="e">
        <f t="shared" si="17"/>
        <v>#DIV/0!</v>
      </c>
      <c r="N210" s="1">
        <f t="shared" si="14"/>
        <v>0</v>
      </c>
      <c r="O210" s="44">
        <f t="shared" si="18"/>
        <v>0</v>
      </c>
    </row>
    <row r="211" spans="1:15" x14ac:dyDescent="0.25">
      <c r="A211" s="24">
        <v>45078</v>
      </c>
      <c r="G211" s="46"/>
      <c r="H211" s="22">
        <f t="shared" si="15"/>
        <v>0</v>
      </c>
      <c r="I211" s="25">
        <f>'1 - Amortisation'!G182</f>
        <v>197802.10665788411</v>
      </c>
      <c r="J211" s="25">
        <f t="shared" si="16"/>
        <v>524.10991804249352</v>
      </c>
      <c r="M211" s="26" t="e">
        <f t="shared" si="17"/>
        <v>#DIV/0!</v>
      </c>
      <c r="N211" s="1">
        <f t="shared" si="14"/>
        <v>0</v>
      </c>
      <c r="O211" s="44">
        <f t="shared" si="18"/>
        <v>0</v>
      </c>
    </row>
    <row r="212" spans="1:15" x14ac:dyDescent="0.25">
      <c r="A212" s="24">
        <v>45108</v>
      </c>
      <c r="G212" s="46"/>
      <c r="H212" s="22">
        <f t="shared" si="15"/>
        <v>0</v>
      </c>
      <c r="I212" s="25">
        <f>'1 - Amortisation'!G183</f>
        <v>197274.06591545627</v>
      </c>
      <c r="J212" s="25">
        <f t="shared" si="16"/>
        <v>528.04074242783827</v>
      </c>
      <c r="M212" s="26" t="e">
        <f t="shared" si="17"/>
        <v>#DIV/0!</v>
      </c>
      <c r="N212" s="1">
        <f t="shared" si="14"/>
        <v>0</v>
      </c>
      <c r="O212" s="44">
        <f t="shared" si="18"/>
        <v>0</v>
      </c>
    </row>
    <row r="213" spans="1:15" x14ac:dyDescent="0.25">
      <c r="A213" s="24">
        <v>45139</v>
      </c>
      <c r="G213" s="46"/>
      <c r="H213" s="22">
        <f t="shared" si="15"/>
        <v>0</v>
      </c>
      <c r="I213" s="25">
        <f>'1 - Amortisation'!G184</f>
        <v>196742.06486746023</v>
      </c>
      <c r="J213" s="25">
        <f t="shared" si="16"/>
        <v>532.00104799604742</v>
      </c>
      <c r="M213" s="26" t="e">
        <f t="shared" si="17"/>
        <v>#DIV/0!</v>
      </c>
      <c r="N213" s="1">
        <f t="shared" si="14"/>
        <v>0</v>
      </c>
      <c r="O213" s="44">
        <f t="shared" si="18"/>
        <v>0</v>
      </c>
    </row>
    <row r="214" spans="1:15" x14ac:dyDescent="0.25">
      <c r="A214" s="24">
        <v>45170</v>
      </c>
      <c r="G214" s="46"/>
      <c r="H214" s="22">
        <f t="shared" si="15"/>
        <v>0</v>
      </c>
      <c r="I214" s="25">
        <f>'1 - Amortisation'!G185</f>
        <v>196206.07381160423</v>
      </c>
      <c r="J214" s="25">
        <f t="shared" si="16"/>
        <v>535.99105585599318</v>
      </c>
      <c r="M214" s="26" t="e">
        <f t="shared" si="17"/>
        <v>#DIV/0!</v>
      </c>
      <c r="N214" s="1">
        <f t="shared" si="14"/>
        <v>0</v>
      </c>
      <c r="O214" s="44">
        <f t="shared" si="18"/>
        <v>0</v>
      </c>
    </row>
    <row r="215" spans="1:15" x14ac:dyDescent="0.25">
      <c r="A215" s="24">
        <v>45200</v>
      </c>
      <c r="G215" s="46"/>
      <c r="H215" s="22">
        <f t="shared" si="15"/>
        <v>0</v>
      </c>
      <c r="I215" s="25">
        <f>'1 - Amortisation'!G186</f>
        <v>195666.06282282932</v>
      </c>
      <c r="J215" s="25">
        <f t="shared" si="16"/>
        <v>540.01098877491313</v>
      </c>
      <c r="M215" s="26" t="e">
        <f t="shared" si="17"/>
        <v>#DIV/0!</v>
      </c>
      <c r="N215" s="1">
        <f t="shared" si="14"/>
        <v>0</v>
      </c>
      <c r="O215" s="44">
        <f t="shared" si="18"/>
        <v>0</v>
      </c>
    </row>
    <row r="216" spans="1:15" x14ac:dyDescent="0.25">
      <c r="A216" s="24">
        <v>45231</v>
      </c>
      <c r="G216" s="46"/>
      <c r="H216" s="22">
        <f t="shared" si="15"/>
        <v>0</v>
      </c>
      <c r="I216" s="25">
        <f>'1 - Amortisation'!G187</f>
        <v>195122.0017516386</v>
      </c>
      <c r="J216" s="25">
        <f t="shared" si="16"/>
        <v>544.06107119072112</v>
      </c>
      <c r="M216" s="26" t="e">
        <f t="shared" si="17"/>
        <v>#DIV/0!</v>
      </c>
      <c r="N216" s="1">
        <f t="shared" ref="N216:N279" si="19">IF(F216&gt;0,F215-F216,0)</f>
        <v>0</v>
      </c>
      <c r="O216" s="44">
        <f t="shared" si="18"/>
        <v>0</v>
      </c>
    </row>
    <row r="217" spans="1:15" x14ac:dyDescent="0.25">
      <c r="A217" s="24">
        <v>45261</v>
      </c>
      <c r="G217" s="46"/>
      <c r="H217" s="22">
        <f t="shared" si="15"/>
        <v>0</v>
      </c>
      <c r="I217" s="25">
        <f>'1 - Amortisation'!G188</f>
        <v>194573.86022241393</v>
      </c>
      <c r="J217" s="25">
        <f t="shared" si="16"/>
        <v>548.14152922466747</v>
      </c>
      <c r="M217" s="26" t="e">
        <f t="shared" si="17"/>
        <v>#DIV/0!</v>
      </c>
      <c r="N217" s="1">
        <f t="shared" si="19"/>
        <v>0</v>
      </c>
      <c r="O217" s="44">
        <f t="shared" si="18"/>
        <v>0</v>
      </c>
    </row>
    <row r="218" spans="1:15" x14ac:dyDescent="0.25">
      <c r="A218" s="24">
        <v>45292</v>
      </c>
      <c r="G218" s="46"/>
      <c r="H218" s="22">
        <f t="shared" si="15"/>
        <v>0</v>
      </c>
      <c r="I218" s="25">
        <f>'1 - Amortisation'!G189</f>
        <v>194021.60763172008</v>
      </c>
      <c r="J218" s="25">
        <f t="shared" si="16"/>
        <v>552.25259069385356</v>
      </c>
      <c r="M218" s="26" t="e">
        <f t="shared" si="17"/>
        <v>#DIV/0!</v>
      </c>
      <c r="N218" s="1">
        <f t="shared" si="19"/>
        <v>0</v>
      </c>
      <c r="O218" s="44">
        <f t="shared" si="18"/>
        <v>0</v>
      </c>
    </row>
    <row r="219" spans="1:15" x14ac:dyDescent="0.25">
      <c r="A219" s="24">
        <v>45323</v>
      </c>
      <c r="G219" s="46"/>
      <c r="H219" s="22">
        <f t="shared" si="15"/>
        <v>0</v>
      </c>
      <c r="I219" s="25">
        <f>'1 - Amortisation'!G190</f>
        <v>193465.21314659601</v>
      </c>
      <c r="J219" s="25">
        <f t="shared" si="16"/>
        <v>556.3944851240667</v>
      </c>
      <c r="M219" s="26" t="e">
        <f t="shared" si="17"/>
        <v>#DIV/0!</v>
      </c>
      <c r="N219" s="1">
        <f t="shared" si="19"/>
        <v>0</v>
      </c>
      <c r="O219" s="44">
        <f t="shared" si="18"/>
        <v>0</v>
      </c>
    </row>
    <row r="220" spans="1:15" x14ac:dyDescent="0.25">
      <c r="A220" s="24">
        <v>45352</v>
      </c>
      <c r="G220" s="46"/>
      <c r="H220" s="22">
        <f t="shared" si="15"/>
        <v>0</v>
      </c>
      <c r="I220" s="25">
        <f>'1 - Amortisation'!G191</f>
        <v>192904.64570283351</v>
      </c>
      <c r="J220" s="25">
        <f t="shared" si="16"/>
        <v>560.56744376249844</v>
      </c>
      <c r="M220" s="26" t="e">
        <f t="shared" si="17"/>
        <v>#DIV/0!</v>
      </c>
      <c r="N220" s="1">
        <f t="shared" si="19"/>
        <v>0</v>
      </c>
      <c r="O220" s="44">
        <f t="shared" si="18"/>
        <v>0</v>
      </c>
    </row>
    <row r="221" spans="1:15" x14ac:dyDescent="0.25">
      <c r="A221" s="24">
        <v>45383</v>
      </c>
      <c r="G221" s="46"/>
      <c r="H221" s="22">
        <f t="shared" si="15"/>
        <v>0</v>
      </c>
      <c r="I221" s="25">
        <f>'1 - Amortisation'!G192</f>
        <v>192339.87400324282</v>
      </c>
      <c r="J221" s="25">
        <f t="shared" si="16"/>
        <v>564.77169959069579</v>
      </c>
      <c r="M221" s="26" t="e">
        <f t="shared" si="17"/>
        <v>#DIV/0!</v>
      </c>
      <c r="N221" s="1">
        <f t="shared" si="19"/>
        <v>0</v>
      </c>
      <c r="O221" s="44">
        <f t="shared" si="18"/>
        <v>0</v>
      </c>
    </row>
    <row r="222" spans="1:15" x14ac:dyDescent="0.25">
      <c r="A222" s="24">
        <v>45413</v>
      </c>
      <c r="G222" s="46"/>
      <c r="H222" s="22">
        <f t="shared" si="15"/>
        <v>0</v>
      </c>
      <c r="I222" s="25">
        <f>'1 - Amortisation'!G193</f>
        <v>191770.86651590519</v>
      </c>
      <c r="J222" s="25">
        <f t="shared" si="16"/>
        <v>569.00748733762885</v>
      </c>
      <c r="M222" s="26" t="e">
        <f t="shared" si="17"/>
        <v>#DIV/0!</v>
      </c>
      <c r="N222" s="1">
        <f t="shared" si="19"/>
        <v>0</v>
      </c>
      <c r="O222" s="44">
        <f t="shared" si="18"/>
        <v>0</v>
      </c>
    </row>
    <row r="223" spans="1:15" x14ac:dyDescent="0.25">
      <c r="A223" s="24">
        <v>45444</v>
      </c>
      <c r="G223" s="46"/>
      <c r="H223" s="22">
        <f t="shared" si="15"/>
        <v>0</v>
      </c>
      <c r="I223" s="25">
        <f>'1 - Amortisation'!G194</f>
        <v>191197.59147241252</v>
      </c>
      <c r="J223" s="25">
        <f t="shared" si="16"/>
        <v>573.2750434926711</v>
      </c>
      <c r="M223" s="26" t="e">
        <f t="shared" si="17"/>
        <v>#DIV/0!</v>
      </c>
      <c r="N223" s="1">
        <f t="shared" si="19"/>
        <v>0</v>
      </c>
      <c r="O223" s="44">
        <f t="shared" si="18"/>
        <v>0</v>
      </c>
    </row>
    <row r="224" spans="1:15" x14ac:dyDescent="0.25">
      <c r="A224" s="24">
        <v>45474</v>
      </c>
      <c r="G224" s="46"/>
      <c r="H224" s="22">
        <f t="shared" si="15"/>
        <v>0</v>
      </c>
      <c r="I224" s="25">
        <f>'1 - Amortisation'!G195</f>
        <v>190620.01686609365</v>
      </c>
      <c r="J224" s="25">
        <f t="shared" si="16"/>
        <v>577.57460631887079</v>
      </c>
      <c r="M224" s="26" t="e">
        <f t="shared" si="17"/>
        <v>#DIV/0!</v>
      </c>
      <c r="N224" s="1">
        <f t="shared" si="19"/>
        <v>0</v>
      </c>
      <c r="O224" s="44">
        <f t="shared" si="18"/>
        <v>0</v>
      </c>
    </row>
    <row r="225" spans="1:15" x14ac:dyDescent="0.25">
      <c r="A225" s="24">
        <v>45505</v>
      </c>
      <c r="G225" s="46"/>
      <c r="H225" s="22">
        <f t="shared" ref="H225:H288" si="20">F225/$F$31</f>
        <v>0</v>
      </c>
      <c r="I225" s="25">
        <f>'1 - Amortisation'!G196</f>
        <v>190038.1104502274</v>
      </c>
      <c r="J225" s="25">
        <f t="shared" ref="J225:J288" si="21">I224-I225</f>
        <v>581.90641586625134</v>
      </c>
      <c r="M225" s="26" t="e">
        <f t="shared" ref="M225:M288" si="22">B225/D225</f>
        <v>#DIV/0!</v>
      </c>
      <c r="N225" s="1">
        <f t="shared" si="19"/>
        <v>0</v>
      </c>
      <c r="O225" s="44">
        <f t="shared" si="18"/>
        <v>0</v>
      </c>
    </row>
    <row r="226" spans="1:15" x14ac:dyDescent="0.25">
      <c r="A226" s="24">
        <v>45536</v>
      </c>
      <c r="G226" s="46"/>
      <c r="H226" s="22">
        <f t="shared" si="20"/>
        <v>0</v>
      </c>
      <c r="I226" s="25">
        <f>'1 - Amortisation'!G197</f>
        <v>189451.83973624214</v>
      </c>
      <c r="J226" s="25">
        <f t="shared" si="21"/>
        <v>586.27071398525732</v>
      </c>
      <c r="M226" s="26" t="e">
        <f t="shared" si="22"/>
        <v>#DIV/0!</v>
      </c>
      <c r="N226" s="1">
        <f t="shared" si="19"/>
        <v>0</v>
      </c>
      <c r="O226" s="44">
        <f t="shared" si="18"/>
        <v>0</v>
      </c>
    </row>
    <row r="227" spans="1:15" x14ac:dyDescent="0.25">
      <c r="A227" s="24">
        <v>45566</v>
      </c>
      <c r="G227" s="46"/>
      <c r="H227" s="22">
        <f t="shared" si="20"/>
        <v>0</v>
      </c>
      <c r="I227" s="25">
        <f>'1 - Amortisation'!G198</f>
        <v>188861.171991902</v>
      </c>
      <c r="J227" s="25">
        <f t="shared" si="21"/>
        <v>590.66774434014224</v>
      </c>
      <c r="M227" s="26" t="e">
        <f t="shared" si="22"/>
        <v>#DIV/0!</v>
      </c>
      <c r="N227" s="1">
        <f t="shared" si="19"/>
        <v>0</v>
      </c>
      <c r="O227" s="44">
        <f t="shared" ref="O227:O290" si="23">F227+G227</f>
        <v>0</v>
      </c>
    </row>
    <row r="228" spans="1:15" x14ac:dyDescent="0.25">
      <c r="A228" s="24">
        <v>45597</v>
      </c>
      <c r="G228" s="46"/>
      <c r="H228" s="22">
        <f t="shared" si="20"/>
        <v>0</v>
      </c>
      <c r="I228" s="25">
        <f>'1 - Amortisation'!G199</f>
        <v>188266.07423947932</v>
      </c>
      <c r="J228" s="25">
        <f t="shared" si="21"/>
        <v>595.09775242267642</v>
      </c>
      <c r="M228" s="26" t="e">
        <f t="shared" si="22"/>
        <v>#DIV/0!</v>
      </c>
      <c r="N228" s="1">
        <f t="shared" si="19"/>
        <v>0</v>
      </c>
      <c r="O228" s="44">
        <f t="shared" si="23"/>
        <v>0</v>
      </c>
    </row>
    <row r="229" spans="1:15" x14ac:dyDescent="0.25">
      <c r="A229" s="24">
        <v>45627</v>
      </c>
      <c r="G229" s="46"/>
      <c r="H229" s="22">
        <f t="shared" si="20"/>
        <v>0</v>
      </c>
      <c r="I229" s="25">
        <f>'1 - Amortisation'!G200</f>
        <v>187666.51325391346</v>
      </c>
      <c r="J229" s="25">
        <f t="shared" si="21"/>
        <v>599.56098556585493</v>
      </c>
      <c r="M229" s="26" t="e">
        <f t="shared" si="22"/>
        <v>#DIV/0!</v>
      </c>
      <c r="N229" s="1">
        <f t="shared" si="19"/>
        <v>0</v>
      </c>
      <c r="O229" s="44">
        <f t="shared" si="23"/>
        <v>0</v>
      </c>
    </row>
    <row r="230" spans="1:15" x14ac:dyDescent="0.25">
      <c r="A230" s="24">
        <v>45658</v>
      </c>
      <c r="G230" s="46"/>
      <c r="H230" s="22">
        <f t="shared" si="20"/>
        <v>0</v>
      </c>
      <c r="I230" s="25">
        <f>'1 - Amortisation'!G201</f>
        <v>187062.45556095586</v>
      </c>
      <c r="J230" s="25">
        <f t="shared" si="21"/>
        <v>604.05769295760547</v>
      </c>
      <c r="M230" s="26" t="e">
        <f t="shared" si="22"/>
        <v>#DIV/0!</v>
      </c>
      <c r="N230" s="1">
        <f t="shared" si="19"/>
        <v>0</v>
      </c>
      <c r="O230" s="44">
        <f t="shared" si="23"/>
        <v>0</v>
      </c>
    </row>
    <row r="231" spans="1:15" x14ac:dyDescent="0.25">
      <c r="A231" s="24">
        <v>45689</v>
      </c>
      <c r="G231" s="46"/>
      <c r="H231" s="22">
        <f t="shared" si="20"/>
        <v>0</v>
      </c>
      <c r="I231" s="25">
        <f>'1 - Amortisation'!G202</f>
        <v>186453.86743530107</v>
      </c>
      <c r="J231" s="25">
        <f t="shared" si="21"/>
        <v>608.58812565478729</v>
      </c>
      <c r="M231" s="26" t="e">
        <f t="shared" si="22"/>
        <v>#DIV/0!</v>
      </c>
      <c r="N231" s="1">
        <f t="shared" si="19"/>
        <v>0</v>
      </c>
      <c r="O231" s="44">
        <f t="shared" si="23"/>
        <v>0</v>
      </c>
    </row>
    <row r="232" spans="1:15" x14ac:dyDescent="0.25">
      <c r="A232" s="24">
        <v>45717</v>
      </c>
      <c r="G232" s="46"/>
      <c r="H232" s="22">
        <f t="shared" si="20"/>
        <v>0</v>
      </c>
      <c r="I232" s="25">
        <f>'1 - Amortisation'!G203</f>
        <v>185840.71489870388</v>
      </c>
      <c r="J232" s="25">
        <f t="shared" si="21"/>
        <v>613.15253659719019</v>
      </c>
      <c r="M232" s="26" t="e">
        <f t="shared" si="22"/>
        <v>#DIV/0!</v>
      </c>
      <c r="N232" s="1">
        <f t="shared" si="19"/>
        <v>0</v>
      </c>
      <c r="O232" s="44">
        <f t="shared" si="23"/>
        <v>0</v>
      </c>
    </row>
    <row r="233" spans="1:15" x14ac:dyDescent="0.25">
      <c r="A233" s="24">
        <v>45748</v>
      </c>
      <c r="G233" s="46"/>
      <c r="H233" s="22">
        <f t="shared" si="20"/>
        <v>0</v>
      </c>
      <c r="I233" s="25">
        <f>'1 - Amortisation'!G204</f>
        <v>185222.9637180822</v>
      </c>
      <c r="J233" s="25">
        <f t="shared" si="21"/>
        <v>617.75118062167894</v>
      </c>
      <c r="M233" s="26" t="e">
        <f t="shared" si="22"/>
        <v>#DIV/0!</v>
      </c>
      <c r="N233" s="1">
        <f t="shared" si="19"/>
        <v>0</v>
      </c>
      <c r="O233" s="44">
        <f t="shared" si="23"/>
        <v>0</v>
      </c>
    </row>
    <row r="234" spans="1:15" x14ac:dyDescent="0.25">
      <c r="A234" s="24">
        <v>45778</v>
      </c>
      <c r="G234" s="46"/>
      <c r="H234" s="22">
        <f t="shared" si="20"/>
        <v>0</v>
      </c>
      <c r="I234" s="25">
        <f>'1 - Amortisation'!G205</f>
        <v>184600.57940360587</v>
      </c>
      <c r="J234" s="25">
        <f t="shared" si="21"/>
        <v>622.38431447633775</v>
      </c>
      <c r="M234" s="26" t="e">
        <f t="shared" si="22"/>
        <v>#DIV/0!</v>
      </c>
      <c r="N234" s="1">
        <f t="shared" si="19"/>
        <v>0</v>
      </c>
      <c r="O234" s="44">
        <f t="shared" si="23"/>
        <v>0</v>
      </c>
    </row>
    <row r="235" spans="1:15" x14ac:dyDescent="0.25">
      <c r="A235" s="24">
        <v>45809</v>
      </c>
      <c r="G235" s="46"/>
      <c r="H235" s="22">
        <f t="shared" si="20"/>
        <v>0</v>
      </c>
      <c r="I235" s="25">
        <f>'1 - Amortisation'!G206</f>
        <v>183973.52720677096</v>
      </c>
      <c r="J235" s="25">
        <f t="shared" si="21"/>
        <v>627.05219683490577</v>
      </c>
      <c r="M235" s="26" t="e">
        <f t="shared" si="22"/>
        <v>#DIV/0!</v>
      </c>
      <c r="N235" s="1">
        <f t="shared" si="19"/>
        <v>0</v>
      </c>
      <c r="O235" s="44">
        <f t="shared" si="23"/>
        <v>0</v>
      </c>
    </row>
    <row r="236" spans="1:15" x14ac:dyDescent="0.25">
      <c r="A236" s="24">
        <v>45839</v>
      </c>
      <c r="G236" s="46"/>
      <c r="H236" s="22">
        <f t="shared" si="20"/>
        <v>0</v>
      </c>
      <c r="I236" s="25">
        <f>'1 - Amortisation'!G207</f>
        <v>183341.77211845978</v>
      </c>
      <c r="J236" s="25">
        <f t="shared" si="21"/>
        <v>631.7550883111835</v>
      </c>
      <c r="M236" s="26" t="e">
        <f t="shared" si="22"/>
        <v>#DIV/0!</v>
      </c>
      <c r="N236" s="1">
        <f t="shared" si="19"/>
        <v>0</v>
      </c>
      <c r="O236" s="44">
        <f t="shared" si="23"/>
        <v>0</v>
      </c>
    </row>
    <row r="237" spans="1:15" x14ac:dyDescent="0.25">
      <c r="A237" s="24">
        <v>45870</v>
      </c>
      <c r="G237" s="46"/>
      <c r="H237" s="22">
        <f t="shared" si="20"/>
        <v>0</v>
      </c>
      <c r="I237" s="25">
        <f>'1 - Amortisation'!G208</f>
        <v>182705.27886698628</v>
      </c>
      <c r="J237" s="25">
        <f t="shared" si="21"/>
        <v>636.49325147349737</v>
      </c>
      <c r="M237" s="26" t="e">
        <f t="shared" si="22"/>
        <v>#DIV/0!</v>
      </c>
      <c r="N237" s="1">
        <f t="shared" si="19"/>
        <v>0</v>
      </c>
      <c r="O237" s="44">
        <f t="shared" si="23"/>
        <v>0</v>
      </c>
    </row>
    <row r="238" spans="1:15" x14ac:dyDescent="0.25">
      <c r="A238" s="24">
        <v>45901</v>
      </c>
      <c r="G238" s="46"/>
      <c r="H238" s="22">
        <f t="shared" si="20"/>
        <v>0</v>
      </c>
      <c r="I238" s="25">
        <f>'1 - Amortisation'!G209</f>
        <v>182064.01191612671</v>
      </c>
      <c r="J238" s="25">
        <f t="shared" si="21"/>
        <v>641.26695085957181</v>
      </c>
      <c r="M238" s="26" t="e">
        <f t="shared" si="22"/>
        <v>#DIV/0!</v>
      </c>
      <c r="N238" s="1">
        <f t="shared" si="19"/>
        <v>0</v>
      </c>
      <c r="O238" s="44">
        <f t="shared" si="23"/>
        <v>0</v>
      </c>
    </row>
    <row r="239" spans="1:15" x14ac:dyDescent="0.25">
      <c r="A239" s="24">
        <v>45931</v>
      </c>
      <c r="G239" s="46"/>
      <c r="H239" s="22">
        <f t="shared" si="20"/>
        <v>0</v>
      </c>
      <c r="I239" s="25">
        <f>'1 - Amortisation'!G210</f>
        <v>181417.93546313571</v>
      </c>
      <c r="J239" s="25">
        <f t="shared" si="21"/>
        <v>646.07645299099386</v>
      </c>
      <c r="M239" s="26" t="e">
        <f t="shared" si="22"/>
        <v>#DIV/0!</v>
      </c>
      <c r="N239" s="1">
        <f t="shared" si="19"/>
        <v>0</v>
      </c>
      <c r="O239" s="44">
        <f t="shared" si="23"/>
        <v>0</v>
      </c>
    </row>
    <row r="240" spans="1:15" x14ac:dyDescent="0.25">
      <c r="A240" s="24">
        <v>45962</v>
      </c>
      <c r="G240" s="46"/>
      <c r="H240" s="22">
        <f t="shared" si="20"/>
        <v>0</v>
      </c>
      <c r="I240" s="25">
        <f>'1 - Amortisation'!G211</f>
        <v>180767.01343674728</v>
      </c>
      <c r="J240" s="25">
        <f t="shared" si="21"/>
        <v>650.92202638843446</v>
      </c>
      <c r="M240" s="26" t="e">
        <f t="shared" si="22"/>
        <v>#DIV/0!</v>
      </c>
      <c r="N240" s="1">
        <f t="shared" si="19"/>
        <v>0</v>
      </c>
      <c r="O240" s="44">
        <f t="shared" si="23"/>
        <v>0</v>
      </c>
    </row>
    <row r="241" spans="1:15" x14ac:dyDescent="0.25">
      <c r="A241" s="24">
        <v>45992</v>
      </c>
      <c r="G241" s="46"/>
      <c r="H241" s="22">
        <f t="shared" si="20"/>
        <v>0</v>
      </c>
      <c r="I241" s="25">
        <f>'1 - Amortisation'!G212</f>
        <v>180111.20949516093</v>
      </c>
      <c r="J241" s="25">
        <f t="shared" si="21"/>
        <v>655.8039415863459</v>
      </c>
      <c r="M241" s="26" t="e">
        <f t="shared" si="22"/>
        <v>#DIV/0!</v>
      </c>
      <c r="N241" s="1">
        <f t="shared" si="19"/>
        <v>0</v>
      </c>
      <c r="O241" s="44">
        <f t="shared" si="23"/>
        <v>0</v>
      </c>
    </row>
    <row r="242" spans="1:15" x14ac:dyDescent="0.25">
      <c r="A242" s="24">
        <v>46023</v>
      </c>
      <c r="G242" s="46"/>
      <c r="H242" s="22">
        <f t="shared" si="20"/>
        <v>0</v>
      </c>
      <c r="I242" s="25">
        <f>'1 - Amortisation'!G213</f>
        <v>179450.48702401269</v>
      </c>
      <c r="J242" s="25">
        <f t="shared" si="21"/>
        <v>660.72247114824131</v>
      </c>
      <c r="M242" s="26" t="e">
        <f t="shared" si="22"/>
        <v>#DIV/0!</v>
      </c>
      <c r="N242" s="1">
        <f t="shared" si="19"/>
        <v>0</v>
      </c>
      <c r="O242" s="44">
        <f t="shared" si="23"/>
        <v>0</v>
      </c>
    </row>
    <row r="243" spans="1:15" x14ac:dyDescent="0.25">
      <c r="A243" s="24">
        <v>46054</v>
      </c>
      <c r="G243" s="46"/>
      <c r="H243" s="22">
        <f t="shared" si="20"/>
        <v>0</v>
      </c>
      <c r="I243" s="25">
        <f>'1 - Amortisation'!G214</f>
        <v>178784.80913433083</v>
      </c>
      <c r="J243" s="25">
        <f t="shared" si="21"/>
        <v>665.67788968185778</v>
      </c>
      <c r="M243" s="26" t="e">
        <f t="shared" si="22"/>
        <v>#DIV/0!</v>
      </c>
      <c r="N243" s="1">
        <f t="shared" si="19"/>
        <v>0</v>
      </c>
      <c r="O243" s="44">
        <f t="shared" si="23"/>
        <v>0</v>
      </c>
    </row>
    <row r="244" spans="1:15" x14ac:dyDescent="0.25">
      <c r="A244" s="24">
        <v>46082</v>
      </c>
      <c r="G244" s="46"/>
      <c r="H244" s="22">
        <f t="shared" si="20"/>
        <v>0</v>
      </c>
      <c r="I244" s="25">
        <f>'1 - Amortisation'!G215</f>
        <v>178114.13866047637</v>
      </c>
      <c r="J244" s="25">
        <f t="shared" si="21"/>
        <v>670.67047385446494</v>
      </c>
      <c r="M244" s="26" t="e">
        <f t="shared" si="22"/>
        <v>#DIV/0!</v>
      </c>
      <c r="N244" s="1">
        <f t="shared" si="19"/>
        <v>0</v>
      </c>
      <c r="O244" s="44">
        <f t="shared" si="23"/>
        <v>0</v>
      </c>
    </row>
    <row r="245" spans="1:15" x14ac:dyDescent="0.25">
      <c r="A245" s="24">
        <v>46113</v>
      </c>
      <c r="G245" s="46"/>
      <c r="H245" s="22">
        <f t="shared" si="20"/>
        <v>0</v>
      </c>
      <c r="I245" s="25">
        <f>'1 - Amortisation'!G216</f>
        <v>177438.43815806799</v>
      </c>
      <c r="J245" s="25">
        <f t="shared" si="21"/>
        <v>675.70050240837736</v>
      </c>
      <c r="M245" s="26" t="e">
        <f t="shared" si="22"/>
        <v>#DIV/0!</v>
      </c>
      <c r="N245" s="1">
        <f t="shared" si="19"/>
        <v>0</v>
      </c>
      <c r="O245" s="44">
        <f t="shared" si="23"/>
        <v>0</v>
      </c>
    </row>
    <row r="246" spans="1:15" x14ac:dyDescent="0.25">
      <c r="A246" s="24">
        <v>46143</v>
      </c>
      <c r="G246" s="46"/>
      <c r="H246" s="22">
        <f t="shared" si="20"/>
        <v>0</v>
      </c>
      <c r="I246" s="25">
        <f>'1 - Amortisation'!G217</f>
        <v>176757.66990189155</v>
      </c>
      <c r="J246" s="25">
        <f t="shared" si="21"/>
        <v>680.76825617643772</v>
      </c>
      <c r="M246" s="26" t="e">
        <f t="shared" si="22"/>
        <v>#DIV/0!</v>
      </c>
      <c r="N246" s="1">
        <f t="shared" si="19"/>
        <v>0</v>
      </c>
      <c r="O246" s="44">
        <f t="shared" si="23"/>
        <v>0</v>
      </c>
    </row>
    <row r="247" spans="1:15" x14ac:dyDescent="0.25">
      <c r="A247" s="24">
        <v>46174</v>
      </c>
      <c r="G247" s="46"/>
      <c r="H247" s="22">
        <f t="shared" si="20"/>
        <v>0</v>
      </c>
      <c r="I247" s="25">
        <f>'1 - Amortisation'!G218</f>
        <v>176071.79588379379</v>
      </c>
      <c r="J247" s="25">
        <f t="shared" si="21"/>
        <v>685.87401809776202</v>
      </c>
      <c r="M247" s="26" t="e">
        <f t="shared" si="22"/>
        <v>#DIV/0!</v>
      </c>
      <c r="N247" s="1">
        <f t="shared" si="19"/>
        <v>0</v>
      </c>
      <c r="O247" s="44">
        <f t="shared" si="23"/>
        <v>0</v>
      </c>
    </row>
    <row r="248" spans="1:15" x14ac:dyDescent="0.25">
      <c r="A248" s="24">
        <v>46204</v>
      </c>
      <c r="G248" s="46"/>
      <c r="H248" s="22">
        <f t="shared" si="20"/>
        <v>0</v>
      </c>
      <c r="I248" s="25">
        <f>'1 - Amortisation'!G219</f>
        <v>175380.77781056028</v>
      </c>
      <c r="J248" s="25">
        <f t="shared" si="21"/>
        <v>691.01807323351386</v>
      </c>
      <c r="M248" s="26" t="e">
        <f t="shared" si="22"/>
        <v>#DIV/0!</v>
      </c>
      <c r="N248" s="1">
        <f t="shared" si="19"/>
        <v>0</v>
      </c>
      <c r="O248" s="44">
        <f t="shared" si="23"/>
        <v>0</v>
      </c>
    </row>
    <row r="249" spans="1:15" x14ac:dyDescent="0.25">
      <c r="A249" s="24">
        <v>46235</v>
      </c>
      <c r="G249" s="46"/>
      <c r="H249" s="22">
        <f t="shared" si="20"/>
        <v>0</v>
      </c>
      <c r="I249" s="25">
        <f>'1 - Amortisation'!G220</f>
        <v>174684.57710177751</v>
      </c>
      <c r="J249" s="25">
        <f t="shared" si="21"/>
        <v>696.20070878276601</v>
      </c>
      <c r="M249" s="26" t="e">
        <f t="shared" si="22"/>
        <v>#DIV/0!</v>
      </c>
      <c r="N249" s="1">
        <f t="shared" si="19"/>
        <v>0</v>
      </c>
      <c r="O249" s="44">
        <f t="shared" si="23"/>
        <v>0</v>
      </c>
    </row>
    <row r="250" spans="1:15" x14ac:dyDescent="0.25">
      <c r="A250" s="24">
        <v>46266</v>
      </c>
      <c r="G250" s="46"/>
      <c r="H250" s="22">
        <f t="shared" si="20"/>
        <v>0</v>
      </c>
      <c r="I250" s="25">
        <f>'1 - Amortisation'!G221</f>
        <v>173983.15488767889</v>
      </c>
      <c r="J250" s="25">
        <f t="shared" si="21"/>
        <v>701.42221409862395</v>
      </c>
      <c r="M250" s="26" t="e">
        <f t="shared" si="22"/>
        <v>#DIV/0!</v>
      </c>
      <c r="N250" s="1">
        <f t="shared" si="19"/>
        <v>0</v>
      </c>
      <c r="O250" s="44">
        <f t="shared" si="23"/>
        <v>0</v>
      </c>
    </row>
    <row r="251" spans="1:15" x14ac:dyDescent="0.25">
      <c r="A251" s="24">
        <v>46296</v>
      </c>
      <c r="G251" s="46"/>
      <c r="H251" s="22">
        <f t="shared" si="20"/>
        <v>0</v>
      </c>
      <c r="I251" s="25">
        <f>'1 - Amortisation'!G222</f>
        <v>173276.47200697454</v>
      </c>
      <c r="J251" s="25">
        <f t="shared" si="21"/>
        <v>706.68288070434937</v>
      </c>
      <c r="M251" s="26" t="e">
        <f t="shared" si="22"/>
        <v>#DIV/0!</v>
      </c>
      <c r="N251" s="1">
        <f t="shared" si="19"/>
        <v>0</v>
      </c>
      <c r="O251" s="44">
        <f t="shared" si="23"/>
        <v>0</v>
      </c>
    </row>
    <row r="252" spans="1:15" x14ac:dyDescent="0.25">
      <c r="A252" s="24">
        <v>46327</v>
      </c>
      <c r="G252" s="46"/>
      <c r="H252" s="22">
        <f t="shared" si="20"/>
        <v>0</v>
      </c>
      <c r="I252" s="25">
        <f>'1 - Amortisation'!G223</f>
        <v>172564.48900466488</v>
      </c>
      <c r="J252" s="25">
        <f t="shared" si="21"/>
        <v>711.98300230965833</v>
      </c>
      <c r="M252" s="26" t="e">
        <f t="shared" si="22"/>
        <v>#DIV/0!</v>
      </c>
      <c r="N252" s="1">
        <f t="shared" si="19"/>
        <v>0</v>
      </c>
      <c r="O252" s="44">
        <f t="shared" si="23"/>
        <v>0</v>
      </c>
    </row>
    <row r="253" spans="1:15" x14ac:dyDescent="0.25">
      <c r="A253" s="24">
        <v>46357</v>
      </c>
      <c r="G253" s="46"/>
      <c r="H253" s="22">
        <f t="shared" si="20"/>
        <v>0</v>
      </c>
      <c r="I253" s="25">
        <f>'1 - Amortisation'!G224</f>
        <v>171847.16612983792</v>
      </c>
      <c r="J253" s="25">
        <f t="shared" si="21"/>
        <v>717.3228748269612</v>
      </c>
      <c r="M253" s="26" t="e">
        <f t="shared" si="22"/>
        <v>#DIV/0!</v>
      </c>
      <c r="N253" s="1">
        <f t="shared" si="19"/>
        <v>0</v>
      </c>
      <c r="O253" s="44">
        <f t="shared" si="23"/>
        <v>0</v>
      </c>
    </row>
    <row r="254" spans="1:15" x14ac:dyDescent="0.25">
      <c r="A254" s="24">
        <v>46388</v>
      </c>
      <c r="G254" s="46"/>
      <c r="H254" s="22">
        <f t="shared" si="20"/>
        <v>0</v>
      </c>
      <c r="I254" s="25">
        <f>'1 - Amortisation'!G225</f>
        <v>171124.46333344973</v>
      </c>
      <c r="J254" s="25">
        <f t="shared" si="21"/>
        <v>722.70279638818465</v>
      </c>
      <c r="M254" s="26" t="e">
        <f t="shared" si="22"/>
        <v>#DIV/0!</v>
      </c>
      <c r="N254" s="1">
        <f t="shared" si="19"/>
        <v>0</v>
      </c>
      <c r="O254" s="44">
        <f t="shared" si="23"/>
        <v>0</v>
      </c>
    </row>
    <row r="255" spans="1:15" x14ac:dyDescent="0.25">
      <c r="A255" s="24">
        <v>46419</v>
      </c>
      <c r="G255" s="46"/>
      <c r="H255" s="22">
        <f t="shared" si="20"/>
        <v>0</v>
      </c>
      <c r="I255" s="25">
        <f>'1 - Amortisation'!G226</f>
        <v>170396.34026608866</v>
      </c>
      <c r="J255" s="25">
        <f t="shared" si="21"/>
        <v>728.12306736106984</v>
      </c>
      <c r="M255" s="26" t="e">
        <f t="shared" si="22"/>
        <v>#DIV/0!</v>
      </c>
      <c r="N255" s="1">
        <f t="shared" si="19"/>
        <v>0</v>
      </c>
      <c r="O255" s="44">
        <f t="shared" si="23"/>
        <v>0</v>
      </c>
    </row>
    <row r="256" spans="1:15" x14ac:dyDescent="0.25">
      <c r="A256" s="24">
        <v>46447</v>
      </c>
      <c r="G256" s="46"/>
      <c r="H256" s="22">
        <f t="shared" si="20"/>
        <v>0</v>
      </c>
      <c r="I256" s="25">
        <f>'1 - Amortisation'!G227</f>
        <v>169662.75627572238</v>
      </c>
      <c r="J256" s="25">
        <f t="shared" si="21"/>
        <v>733.58399036628543</v>
      </c>
      <c r="M256" s="26" t="e">
        <f t="shared" si="22"/>
        <v>#DIV/0!</v>
      </c>
      <c r="N256" s="1">
        <f t="shared" si="19"/>
        <v>0</v>
      </c>
      <c r="O256" s="44">
        <f t="shared" si="23"/>
        <v>0</v>
      </c>
    </row>
    <row r="257" spans="1:15" x14ac:dyDescent="0.25">
      <c r="A257" s="24">
        <v>46478</v>
      </c>
      <c r="G257" s="46"/>
      <c r="H257" s="22">
        <f t="shared" si="20"/>
        <v>0</v>
      </c>
      <c r="I257" s="25">
        <f>'1 - Amortisation'!G228</f>
        <v>168923.67040542833</v>
      </c>
      <c r="J257" s="25">
        <f t="shared" si="21"/>
        <v>739.08587029404589</v>
      </c>
      <c r="M257" s="26" t="e">
        <f t="shared" si="22"/>
        <v>#DIV/0!</v>
      </c>
      <c r="N257" s="1">
        <f t="shared" si="19"/>
        <v>0</v>
      </c>
      <c r="O257" s="44">
        <f t="shared" si="23"/>
        <v>0</v>
      </c>
    </row>
    <row r="258" spans="1:15" x14ac:dyDescent="0.25">
      <c r="A258" s="24">
        <v>46508</v>
      </c>
      <c r="G258" s="46"/>
      <c r="H258" s="22">
        <f t="shared" si="20"/>
        <v>0</v>
      </c>
      <c r="I258" s="25">
        <f>'1 - Amortisation'!G229</f>
        <v>168179.04139110708</v>
      </c>
      <c r="J258" s="25">
        <f t="shared" si="21"/>
        <v>744.62901432125363</v>
      </c>
      <c r="M258" s="26" t="e">
        <f t="shared" si="22"/>
        <v>#DIV/0!</v>
      </c>
      <c r="N258" s="1">
        <f t="shared" si="19"/>
        <v>0</v>
      </c>
      <c r="O258" s="44">
        <f t="shared" si="23"/>
        <v>0</v>
      </c>
    </row>
    <row r="259" spans="1:15" x14ac:dyDescent="0.25">
      <c r="A259" s="24">
        <v>46539</v>
      </c>
      <c r="G259" s="46"/>
      <c r="H259" s="22">
        <f t="shared" si="20"/>
        <v>0</v>
      </c>
      <c r="I259" s="25">
        <f>'1 - Amortisation'!G230</f>
        <v>167428.82765917844</v>
      </c>
      <c r="J259" s="25">
        <f t="shared" si="21"/>
        <v>750.21373192864121</v>
      </c>
      <c r="M259" s="26" t="e">
        <f t="shared" si="22"/>
        <v>#DIV/0!</v>
      </c>
      <c r="N259" s="1">
        <f t="shared" si="19"/>
        <v>0</v>
      </c>
      <c r="O259" s="44">
        <f t="shared" si="23"/>
        <v>0</v>
      </c>
    </row>
    <row r="260" spans="1:15" x14ac:dyDescent="0.25">
      <c r="A260" s="24">
        <v>46569</v>
      </c>
      <c r="G260" s="46"/>
      <c r="H260" s="22">
        <f t="shared" si="20"/>
        <v>0</v>
      </c>
      <c r="I260" s="25">
        <f>'1 - Amortisation'!G231</f>
        <v>166672.98732426032</v>
      </c>
      <c r="J260" s="25">
        <f t="shared" si="21"/>
        <v>755.84033491811715</v>
      </c>
      <c r="M260" s="26" t="e">
        <f t="shared" si="22"/>
        <v>#DIV/0!</v>
      </c>
      <c r="N260" s="1">
        <f t="shared" si="19"/>
        <v>0</v>
      </c>
      <c r="O260" s="44">
        <f t="shared" si="23"/>
        <v>0</v>
      </c>
    </row>
    <row r="261" spans="1:15" x14ac:dyDescent="0.25">
      <c r="A261" s="24">
        <v>46600</v>
      </c>
      <c r="G261" s="46"/>
      <c r="H261" s="22">
        <f t="shared" si="20"/>
        <v>0</v>
      </c>
      <c r="I261" s="25">
        <f>'1 - Amortisation'!G232</f>
        <v>165911.47818683033</v>
      </c>
      <c r="J261" s="25">
        <f t="shared" si="21"/>
        <v>761.50913742999546</v>
      </c>
      <c r="M261" s="26" t="e">
        <f t="shared" si="22"/>
        <v>#DIV/0!</v>
      </c>
      <c r="N261" s="1">
        <f t="shared" si="19"/>
        <v>0</v>
      </c>
      <c r="O261" s="44">
        <f t="shared" si="23"/>
        <v>0</v>
      </c>
    </row>
    <row r="262" spans="1:15" x14ac:dyDescent="0.25">
      <c r="A262" s="24">
        <v>46631</v>
      </c>
      <c r="G262" s="46"/>
      <c r="H262" s="22">
        <f t="shared" si="20"/>
        <v>0</v>
      </c>
      <c r="I262" s="25">
        <f>'1 - Amortisation'!G233</f>
        <v>165144.25773086961</v>
      </c>
      <c r="J262" s="25">
        <f t="shared" si="21"/>
        <v>767.22045596071985</v>
      </c>
      <c r="M262" s="26" t="e">
        <f t="shared" si="22"/>
        <v>#DIV/0!</v>
      </c>
      <c r="N262" s="1">
        <f t="shared" si="19"/>
        <v>0</v>
      </c>
      <c r="O262" s="44">
        <f t="shared" si="23"/>
        <v>0</v>
      </c>
    </row>
    <row r="263" spans="1:15" x14ac:dyDescent="0.25">
      <c r="A263" s="24">
        <v>46661</v>
      </c>
      <c r="G263" s="46"/>
      <c r="H263" s="22">
        <f t="shared" si="20"/>
        <v>0</v>
      </c>
      <c r="I263" s="25">
        <f>'1 - Amortisation'!G234</f>
        <v>164371.28312148916</v>
      </c>
      <c r="J263" s="25">
        <f t="shared" si="21"/>
        <v>772.97460938044242</v>
      </c>
      <c r="M263" s="26" t="e">
        <f t="shared" si="22"/>
        <v>#DIV/0!</v>
      </c>
      <c r="N263" s="1">
        <f t="shared" si="19"/>
        <v>0</v>
      </c>
      <c r="O263" s="44">
        <f t="shared" si="23"/>
        <v>0</v>
      </c>
    </row>
    <row r="264" spans="1:15" x14ac:dyDescent="0.25">
      <c r="A264" s="24">
        <v>46692</v>
      </c>
      <c r="G264" s="46"/>
      <c r="H264" s="22">
        <f t="shared" si="20"/>
        <v>0</v>
      </c>
      <c r="I264" s="25">
        <f>'1 - Amortisation'!G235</f>
        <v>163592.51120253839</v>
      </c>
      <c r="J264" s="25">
        <f t="shared" si="21"/>
        <v>778.77191895077704</v>
      </c>
      <c r="M264" s="26" t="e">
        <f t="shared" si="22"/>
        <v>#DIV/0!</v>
      </c>
      <c r="N264" s="1">
        <f t="shared" si="19"/>
        <v>0</v>
      </c>
      <c r="O264" s="44">
        <f t="shared" si="23"/>
        <v>0</v>
      </c>
    </row>
    <row r="265" spans="1:15" x14ac:dyDescent="0.25">
      <c r="A265" s="24">
        <v>46722</v>
      </c>
      <c r="G265" s="46"/>
      <c r="H265" s="22">
        <f t="shared" si="20"/>
        <v>0</v>
      </c>
      <c r="I265" s="25">
        <f>'1 - Amortisation'!G236</f>
        <v>162807.89849419545</v>
      </c>
      <c r="J265" s="25">
        <f t="shared" si="21"/>
        <v>784.612708342931</v>
      </c>
      <c r="M265" s="26" t="e">
        <f t="shared" si="22"/>
        <v>#DIV/0!</v>
      </c>
      <c r="N265" s="1">
        <f t="shared" si="19"/>
        <v>0</v>
      </c>
      <c r="O265" s="44">
        <f t="shared" si="23"/>
        <v>0</v>
      </c>
    </row>
    <row r="266" spans="1:15" x14ac:dyDescent="0.25">
      <c r="A266" s="24">
        <v>46753</v>
      </c>
      <c r="G266" s="46"/>
      <c r="H266" s="22">
        <f t="shared" si="20"/>
        <v>0</v>
      </c>
      <c r="I266" s="25">
        <f>'1 - Amortisation'!G237</f>
        <v>162017.40119053997</v>
      </c>
      <c r="J266" s="25">
        <f t="shared" si="21"/>
        <v>790.49730365548749</v>
      </c>
      <c r="M266" s="26" t="e">
        <f t="shared" si="22"/>
        <v>#DIV/0!</v>
      </c>
      <c r="N266" s="1">
        <f t="shared" si="19"/>
        <v>0</v>
      </c>
      <c r="O266" s="44">
        <f t="shared" si="23"/>
        <v>0</v>
      </c>
    </row>
    <row r="267" spans="1:15" x14ac:dyDescent="0.25">
      <c r="A267" s="24">
        <v>46784</v>
      </c>
      <c r="G267" s="46"/>
      <c r="H267" s="22">
        <f t="shared" si="20"/>
        <v>0</v>
      </c>
      <c r="I267" s="25">
        <f>'1 - Amortisation'!G238</f>
        <v>161220.97515710705</v>
      </c>
      <c r="J267" s="25">
        <f t="shared" si="21"/>
        <v>796.42603343291557</v>
      </c>
      <c r="M267" s="26" t="e">
        <f t="shared" si="22"/>
        <v>#DIV/0!</v>
      </c>
      <c r="N267" s="1">
        <f t="shared" si="19"/>
        <v>0</v>
      </c>
      <c r="O267" s="44">
        <f t="shared" si="23"/>
        <v>0</v>
      </c>
    </row>
    <row r="268" spans="1:15" x14ac:dyDescent="0.25">
      <c r="A268" s="24">
        <v>46813</v>
      </c>
      <c r="G268" s="46"/>
      <c r="H268" s="22">
        <f t="shared" si="20"/>
        <v>0</v>
      </c>
      <c r="I268" s="25">
        <f>'1 - Amortisation'!G239</f>
        <v>160418.57592842341</v>
      </c>
      <c r="J268" s="25">
        <f t="shared" si="21"/>
        <v>802.39922868364374</v>
      </c>
      <c r="M268" s="26" t="e">
        <f t="shared" si="22"/>
        <v>#DIV/0!</v>
      </c>
      <c r="N268" s="1">
        <f t="shared" si="19"/>
        <v>0</v>
      </c>
      <c r="O268" s="44">
        <f t="shared" si="23"/>
        <v>0</v>
      </c>
    </row>
    <row r="269" spans="1:15" x14ac:dyDescent="0.25">
      <c r="A269" s="24">
        <v>46844</v>
      </c>
      <c r="G269" s="46"/>
      <c r="H269" s="22">
        <f t="shared" si="20"/>
        <v>0</v>
      </c>
      <c r="I269" s="25">
        <f>'1 - Amortisation'!G240</f>
        <v>159610.15870552463</v>
      </c>
      <c r="J269" s="25">
        <f t="shared" si="21"/>
        <v>808.41722289877362</v>
      </c>
      <c r="M269" s="26" t="e">
        <f t="shared" si="22"/>
        <v>#DIV/0!</v>
      </c>
      <c r="N269" s="1">
        <f t="shared" si="19"/>
        <v>0</v>
      </c>
      <c r="O269" s="44">
        <f t="shared" si="23"/>
        <v>0</v>
      </c>
    </row>
    <row r="270" spans="1:15" x14ac:dyDescent="0.25">
      <c r="A270" s="24">
        <v>46874</v>
      </c>
      <c r="G270" s="46"/>
      <c r="H270" s="22">
        <f t="shared" si="20"/>
        <v>0</v>
      </c>
      <c r="I270" s="25">
        <f>'1 - Amortisation'!G241</f>
        <v>158795.6783534541</v>
      </c>
      <c r="J270" s="25">
        <f t="shared" si="21"/>
        <v>814.48035207053181</v>
      </c>
      <c r="M270" s="26" t="e">
        <f t="shared" si="22"/>
        <v>#DIV/0!</v>
      </c>
      <c r="N270" s="1">
        <f t="shared" si="19"/>
        <v>0</v>
      </c>
      <c r="O270" s="44">
        <f t="shared" si="23"/>
        <v>0</v>
      </c>
    </row>
    <row r="271" spans="1:15" x14ac:dyDescent="0.25">
      <c r="A271" s="24">
        <v>46905</v>
      </c>
      <c r="G271" s="46"/>
      <c r="H271" s="22">
        <f t="shared" si="20"/>
        <v>0</v>
      </c>
      <c r="I271" s="25">
        <f>'1 - Amortisation'!G242</f>
        <v>157975.08939874306</v>
      </c>
      <c r="J271" s="25">
        <f t="shared" si="21"/>
        <v>820.58895471104188</v>
      </c>
      <c r="M271" s="26" t="e">
        <f t="shared" si="22"/>
        <v>#DIV/0!</v>
      </c>
      <c r="N271" s="1">
        <f t="shared" si="19"/>
        <v>0</v>
      </c>
      <c r="O271" s="44">
        <f t="shared" si="23"/>
        <v>0</v>
      </c>
    </row>
    <row r="272" spans="1:15" x14ac:dyDescent="0.25">
      <c r="A272" s="24">
        <v>46935</v>
      </c>
      <c r="G272" s="46"/>
      <c r="H272" s="22">
        <f t="shared" si="20"/>
        <v>0</v>
      </c>
      <c r="I272" s="25">
        <f>'1 - Amortisation'!G243</f>
        <v>157148.34602687167</v>
      </c>
      <c r="J272" s="25">
        <f t="shared" si="21"/>
        <v>826.74337187138735</v>
      </c>
      <c r="M272" s="26" t="e">
        <f t="shared" si="22"/>
        <v>#DIV/0!</v>
      </c>
      <c r="N272" s="1">
        <f t="shared" si="19"/>
        <v>0</v>
      </c>
      <c r="O272" s="44">
        <f t="shared" si="23"/>
        <v>0</v>
      </c>
    </row>
    <row r="273" spans="1:15" x14ac:dyDescent="0.25">
      <c r="A273" s="24">
        <v>46966</v>
      </c>
      <c r="G273" s="46"/>
      <c r="H273" s="22">
        <f t="shared" si="20"/>
        <v>0</v>
      </c>
      <c r="I273" s="25">
        <f>'1 - Amortisation'!G244</f>
        <v>156315.40207971126</v>
      </c>
      <c r="J273" s="25">
        <f t="shared" si="21"/>
        <v>832.94394716041279</v>
      </c>
      <c r="M273" s="26" t="e">
        <f t="shared" si="22"/>
        <v>#DIV/0!</v>
      </c>
      <c r="N273" s="1">
        <f t="shared" si="19"/>
        <v>0</v>
      </c>
      <c r="O273" s="44">
        <f t="shared" si="23"/>
        <v>0</v>
      </c>
    </row>
    <row r="274" spans="1:15" x14ac:dyDescent="0.25">
      <c r="A274" s="24">
        <v>46997</v>
      </c>
      <c r="G274" s="46"/>
      <c r="H274" s="22">
        <f t="shared" si="20"/>
        <v>0</v>
      </c>
      <c r="I274" s="25">
        <f>'1 - Amortisation'!G245</f>
        <v>155476.21105294715</v>
      </c>
      <c r="J274" s="25">
        <f t="shared" si="21"/>
        <v>839.19102676410694</v>
      </c>
      <c r="M274" s="26" t="e">
        <f t="shared" si="22"/>
        <v>#DIV/0!</v>
      </c>
      <c r="N274" s="1">
        <f t="shared" si="19"/>
        <v>0</v>
      </c>
      <c r="O274" s="44">
        <f t="shared" si="23"/>
        <v>0</v>
      </c>
    </row>
    <row r="275" spans="1:15" x14ac:dyDescent="0.25">
      <c r="A275" s="24">
        <v>47027</v>
      </c>
      <c r="G275" s="46"/>
      <c r="H275" s="22">
        <f t="shared" si="20"/>
        <v>0</v>
      </c>
      <c r="I275" s="25">
        <f>'1 - Amortisation'!G246</f>
        <v>154630.72609348231</v>
      </c>
      <c r="J275" s="25">
        <f t="shared" si="21"/>
        <v>845.48495946484036</v>
      </c>
      <c r="M275" s="26" t="e">
        <f t="shared" si="22"/>
        <v>#DIV/0!</v>
      </c>
      <c r="N275" s="1">
        <f t="shared" si="19"/>
        <v>0</v>
      </c>
      <c r="O275" s="44">
        <f t="shared" si="23"/>
        <v>0</v>
      </c>
    </row>
    <row r="276" spans="1:15" x14ac:dyDescent="0.25">
      <c r="A276" s="24">
        <v>47058</v>
      </c>
      <c r="G276" s="46"/>
      <c r="H276" s="22">
        <f t="shared" si="20"/>
        <v>0</v>
      </c>
      <c r="I276" s="25">
        <f>'1 - Amortisation'!G247</f>
        <v>153778.89999682148</v>
      </c>
      <c r="J276" s="25">
        <f t="shared" si="21"/>
        <v>851.8260966608359</v>
      </c>
      <c r="M276" s="26" t="e">
        <f t="shared" si="22"/>
        <v>#DIV/0!</v>
      </c>
      <c r="N276" s="1">
        <f t="shared" si="19"/>
        <v>0</v>
      </c>
      <c r="O276" s="44">
        <f t="shared" si="23"/>
        <v>0</v>
      </c>
    </row>
    <row r="277" spans="1:15" x14ac:dyDescent="0.25">
      <c r="A277" s="24">
        <v>47088</v>
      </c>
      <c r="G277" s="46"/>
      <c r="H277" s="22">
        <f t="shared" si="20"/>
        <v>0</v>
      </c>
      <c r="I277" s="25">
        <f>'1 - Amortisation'!G248</f>
        <v>152920.68520443569</v>
      </c>
      <c r="J277" s="25">
        <f t="shared" si="21"/>
        <v>858.21479238578468</v>
      </c>
      <c r="M277" s="26" t="e">
        <f t="shared" si="22"/>
        <v>#DIV/0!</v>
      </c>
      <c r="N277" s="1">
        <f t="shared" si="19"/>
        <v>0</v>
      </c>
      <c r="O277" s="44">
        <f t="shared" si="23"/>
        <v>0</v>
      </c>
    </row>
    <row r="278" spans="1:15" x14ac:dyDescent="0.25">
      <c r="A278" s="24">
        <v>47119</v>
      </c>
      <c r="G278" s="46"/>
      <c r="H278" s="22">
        <f t="shared" si="20"/>
        <v>0</v>
      </c>
      <c r="I278" s="25">
        <f>'1 - Amortisation'!G249</f>
        <v>152056.033801107</v>
      </c>
      <c r="J278" s="25">
        <f t="shared" si="21"/>
        <v>864.65140332869487</v>
      </c>
      <c r="M278" s="26" t="e">
        <f t="shared" si="22"/>
        <v>#DIV/0!</v>
      </c>
      <c r="N278" s="1">
        <f t="shared" si="19"/>
        <v>0</v>
      </c>
      <c r="O278" s="44">
        <f t="shared" si="23"/>
        <v>0</v>
      </c>
    </row>
    <row r="279" spans="1:15" x14ac:dyDescent="0.25">
      <c r="A279" s="24">
        <v>47150</v>
      </c>
      <c r="G279" s="46"/>
      <c r="H279" s="22">
        <f t="shared" si="20"/>
        <v>0</v>
      </c>
      <c r="I279" s="25">
        <f>'1 - Amortisation'!G250</f>
        <v>151184.89751225334</v>
      </c>
      <c r="J279" s="25">
        <f t="shared" si="21"/>
        <v>871.13628885365324</v>
      </c>
      <c r="M279" s="26" t="e">
        <f t="shared" si="22"/>
        <v>#DIV/0!</v>
      </c>
      <c r="N279" s="1">
        <f t="shared" si="19"/>
        <v>0</v>
      </c>
      <c r="O279" s="44">
        <f t="shared" si="23"/>
        <v>0</v>
      </c>
    </row>
    <row r="280" spans="1:15" x14ac:dyDescent="0.25">
      <c r="A280" s="24">
        <v>47178</v>
      </c>
      <c r="G280" s="46"/>
      <c r="H280" s="22">
        <f t="shared" si="20"/>
        <v>0</v>
      </c>
      <c r="I280" s="25">
        <f>'1 - Amortisation'!G251</f>
        <v>150307.22770123329</v>
      </c>
      <c r="J280" s="25">
        <f t="shared" si="21"/>
        <v>877.66981102005229</v>
      </c>
      <c r="M280" s="26" t="e">
        <f t="shared" si="22"/>
        <v>#DIV/0!</v>
      </c>
      <c r="N280" s="1">
        <f t="shared" ref="N280:N343" si="24">IF(F280&gt;0,F279-F280,0)</f>
        <v>0</v>
      </c>
      <c r="O280" s="44">
        <f t="shared" si="23"/>
        <v>0</v>
      </c>
    </row>
    <row r="281" spans="1:15" x14ac:dyDescent="0.25">
      <c r="A281" s="24">
        <v>47209</v>
      </c>
      <c r="G281" s="46"/>
      <c r="H281" s="22">
        <f t="shared" si="20"/>
        <v>0</v>
      </c>
      <c r="I281" s="25">
        <f>'1 - Amortisation'!G252</f>
        <v>149422.97536663059</v>
      </c>
      <c r="J281" s="25">
        <f t="shared" si="21"/>
        <v>884.25233460270101</v>
      </c>
      <c r="M281" s="26" t="e">
        <f t="shared" si="22"/>
        <v>#DIV/0!</v>
      </c>
      <c r="N281" s="1">
        <f t="shared" si="24"/>
        <v>0</v>
      </c>
      <c r="O281" s="44">
        <f t="shared" si="23"/>
        <v>0</v>
      </c>
    </row>
    <row r="282" spans="1:15" x14ac:dyDescent="0.25">
      <c r="A282" s="24">
        <v>47239</v>
      </c>
      <c r="G282" s="46"/>
      <c r="H282" s="22">
        <f t="shared" si="20"/>
        <v>0</v>
      </c>
      <c r="I282" s="25">
        <f>'1 - Amortisation'!G253</f>
        <v>148532.09113951836</v>
      </c>
      <c r="J282" s="25">
        <f t="shared" si="21"/>
        <v>890.88422711222665</v>
      </c>
      <c r="M282" s="26" t="e">
        <f t="shared" si="22"/>
        <v>#DIV/0!</v>
      </c>
      <c r="N282" s="1">
        <f t="shared" si="24"/>
        <v>0</v>
      </c>
      <c r="O282" s="44">
        <f t="shared" si="23"/>
        <v>0</v>
      </c>
    </row>
    <row r="283" spans="1:15" x14ac:dyDescent="0.25">
      <c r="A283" s="24">
        <v>47270</v>
      </c>
      <c r="G283" s="46"/>
      <c r="H283" s="22">
        <f t="shared" si="20"/>
        <v>0</v>
      </c>
      <c r="I283" s="25">
        <f>'1 - Amortisation'!G254</f>
        <v>147634.5252807028</v>
      </c>
      <c r="J283" s="25">
        <f t="shared" si="21"/>
        <v>897.56585881556384</v>
      </c>
      <c r="M283" s="26" t="e">
        <f t="shared" si="22"/>
        <v>#DIV/0!</v>
      </c>
      <c r="N283" s="1">
        <f t="shared" si="24"/>
        <v>0</v>
      </c>
      <c r="O283" s="44">
        <f t="shared" si="23"/>
        <v>0</v>
      </c>
    </row>
    <row r="284" spans="1:15" x14ac:dyDescent="0.25">
      <c r="A284" s="24">
        <v>47300</v>
      </c>
      <c r="G284" s="46"/>
      <c r="H284" s="22">
        <f t="shared" si="20"/>
        <v>0</v>
      </c>
      <c r="I284" s="25">
        <f>'1 - Amortisation'!G255</f>
        <v>146730.22767794612</v>
      </c>
      <c r="J284" s="25">
        <f t="shared" si="21"/>
        <v>904.2976027566765</v>
      </c>
      <c r="M284" s="26" t="e">
        <f t="shared" si="22"/>
        <v>#DIV/0!</v>
      </c>
      <c r="N284" s="1">
        <f t="shared" si="24"/>
        <v>0</v>
      </c>
      <c r="O284" s="44">
        <f t="shared" si="23"/>
        <v>0</v>
      </c>
    </row>
    <row r="285" spans="1:15" x14ac:dyDescent="0.25">
      <c r="A285" s="24">
        <v>47331</v>
      </c>
      <c r="G285" s="46"/>
      <c r="H285" s="22">
        <f t="shared" si="20"/>
        <v>0</v>
      </c>
      <c r="I285" s="25">
        <f>'1 - Amortisation'!G256</f>
        <v>145819.14784316876</v>
      </c>
      <c r="J285" s="25">
        <f t="shared" si="21"/>
        <v>911.07983477736707</v>
      </c>
      <c r="M285" s="26" t="e">
        <f t="shared" si="22"/>
        <v>#DIV/0!</v>
      </c>
      <c r="N285" s="1">
        <f t="shared" si="24"/>
        <v>0</v>
      </c>
      <c r="O285" s="44">
        <f t="shared" si="23"/>
        <v>0</v>
      </c>
    </row>
    <row r="286" spans="1:15" x14ac:dyDescent="0.25">
      <c r="A286" s="24">
        <v>47362</v>
      </c>
      <c r="G286" s="46"/>
      <c r="H286" s="22">
        <f t="shared" si="20"/>
        <v>0</v>
      </c>
      <c r="I286" s="25">
        <f>'1 - Amortisation'!G257</f>
        <v>144901.23490963056</v>
      </c>
      <c r="J286" s="25">
        <f t="shared" si="21"/>
        <v>917.9129335382022</v>
      </c>
      <c r="M286" s="26" t="e">
        <f t="shared" si="22"/>
        <v>#DIV/0!</v>
      </c>
      <c r="N286" s="1">
        <f t="shared" si="24"/>
        <v>0</v>
      </c>
      <c r="O286" s="44">
        <f t="shared" si="23"/>
        <v>0</v>
      </c>
    </row>
    <row r="287" spans="1:15" x14ac:dyDescent="0.25">
      <c r="A287" s="24">
        <v>47392</v>
      </c>
      <c r="G287" s="46"/>
      <c r="H287" s="22">
        <f t="shared" si="20"/>
        <v>0</v>
      </c>
      <c r="I287" s="25">
        <f>'1 - Amortisation'!G258</f>
        <v>143976.43762909083</v>
      </c>
      <c r="J287" s="25">
        <f t="shared" si="21"/>
        <v>924.7972805397294</v>
      </c>
      <c r="M287" s="26" t="e">
        <f t="shared" si="22"/>
        <v>#DIV/0!</v>
      </c>
      <c r="N287" s="1">
        <f t="shared" si="24"/>
        <v>0</v>
      </c>
      <c r="O287" s="44">
        <f t="shared" si="23"/>
        <v>0</v>
      </c>
    </row>
    <row r="288" spans="1:15" x14ac:dyDescent="0.25">
      <c r="A288" s="24">
        <v>47423</v>
      </c>
      <c r="G288" s="46"/>
      <c r="H288" s="22">
        <f t="shared" si="20"/>
        <v>0</v>
      </c>
      <c r="I288" s="25">
        <f>'1 - Amortisation'!G259</f>
        <v>143044.70436894704</v>
      </c>
      <c r="J288" s="25">
        <f t="shared" si="21"/>
        <v>931.73326014378108</v>
      </c>
      <c r="M288" s="26" t="e">
        <f t="shared" si="22"/>
        <v>#DIV/0!</v>
      </c>
      <c r="N288" s="1">
        <f t="shared" si="24"/>
        <v>0</v>
      </c>
      <c r="O288" s="44">
        <f t="shared" si="23"/>
        <v>0</v>
      </c>
    </row>
    <row r="289" spans="1:15" x14ac:dyDescent="0.25">
      <c r="A289" s="24">
        <v>47453</v>
      </c>
      <c r="G289" s="46"/>
      <c r="H289" s="22">
        <f t="shared" ref="H289:H352" si="25">F289/$F$31</f>
        <v>0</v>
      </c>
      <c r="I289" s="25">
        <f>'1 - Amortisation'!G260</f>
        <v>142105.98310935218</v>
      </c>
      <c r="J289" s="25">
        <f t="shared" ref="J289:J348" si="26">I288-I289</f>
        <v>938.72125959486584</v>
      </c>
      <c r="M289" s="26" t="e">
        <f t="shared" ref="M289:M352" si="27">B289/D289</f>
        <v>#DIV/0!</v>
      </c>
      <c r="N289" s="1">
        <f t="shared" si="24"/>
        <v>0</v>
      </c>
      <c r="O289" s="44">
        <f t="shared" si="23"/>
        <v>0</v>
      </c>
    </row>
    <row r="290" spans="1:15" x14ac:dyDescent="0.25">
      <c r="A290" s="24">
        <v>47484</v>
      </c>
      <c r="G290" s="46"/>
      <c r="H290" s="22">
        <f t="shared" si="25"/>
        <v>0</v>
      </c>
      <c r="I290" s="25">
        <f>'1 - Amortisation'!G261</f>
        <v>141160.22144031036</v>
      </c>
      <c r="J290" s="25">
        <f t="shared" si="26"/>
        <v>945.76166904182173</v>
      </c>
      <c r="M290" s="26" t="e">
        <f t="shared" si="27"/>
        <v>#DIV/0!</v>
      </c>
      <c r="N290" s="1">
        <f t="shared" si="24"/>
        <v>0</v>
      </c>
      <c r="O290" s="44">
        <f t="shared" si="23"/>
        <v>0</v>
      </c>
    </row>
    <row r="291" spans="1:15" x14ac:dyDescent="0.25">
      <c r="A291" s="24">
        <v>47515</v>
      </c>
      <c r="G291" s="46"/>
      <c r="H291" s="22">
        <f t="shared" si="25"/>
        <v>0</v>
      </c>
      <c r="I291" s="25">
        <f>'1 - Amortisation'!G262</f>
        <v>140207.36655875074</v>
      </c>
      <c r="J291" s="25">
        <f t="shared" si="26"/>
        <v>952.85488155961502</v>
      </c>
      <c r="M291" s="26" t="e">
        <f t="shared" si="27"/>
        <v>#DIV/0!</v>
      </c>
      <c r="N291" s="1">
        <f t="shared" si="24"/>
        <v>0</v>
      </c>
      <c r="O291" s="44">
        <f t="shared" ref="O291:O354" si="28">F291+G291</f>
        <v>0</v>
      </c>
    </row>
    <row r="292" spans="1:15" x14ac:dyDescent="0.25">
      <c r="A292" s="24">
        <v>47543</v>
      </c>
      <c r="G292" s="46"/>
      <c r="H292" s="22">
        <f t="shared" si="25"/>
        <v>0</v>
      </c>
      <c r="I292" s="25">
        <f>'1 - Amortisation'!G263</f>
        <v>139247.36526557943</v>
      </c>
      <c r="J292" s="25">
        <f t="shared" si="26"/>
        <v>960.00129317131359</v>
      </c>
      <c r="M292" s="26" t="e">
        <f t="shared" si="27"/>
        <v>#DIV/0!</v>
      </c>
      <c r="N292" s="1">
        <f t="shared" si="24"/>
        <v>0</v>
      </c>
      <c r="O292" s="44">
        <f t="shared" si="28"/>
        <v>0</v>
      </c>
    </row>
    <row r="293" spans="1:15" x14ac:dyDescent="0.25">
      <c r="A293" s="24">
        <v>47574</v>
      </c>
      <c r="G293" s="46"/>
      <c r="H293" s="22">
        <f t="shared" si="25"/>
        <v>0</v>
      </c>
      <c r="I293" s="25">
        <f>'1 - Amortisation'!G264</f>
        <v>138280.16396270931</v>
      </c>
      <c r="J293" s="25">
        <f t="shared" si="26"/>
        <v>967.20130287011852</v>
      </c>
      <c r="M293" s="26" t="e">
        <f t="shared" si="27"/>
        <v>#DIV/0!</v>
      </c>
      <c r="N293" s="1">
        <f t="shared" si="24"/>
        <v>0</v>
      </c>
      <c r="O293" s="44">
        <f t="shared" si="28"/>
        <v>0</v>
      </c>
    </row>
    <row r="294" spans="1:15" x14ac:dyDescent="0.25">
      <c r="A294" s="24">
        <v>47604</v>
      </c>
      <c r="G294" s="46"/>
      <c r="H294" s="22">
        <f t="shared" si="25"/>
        <v>0</v>
      </c>
      <c r="I294" s="25">
        <f>'1 - Amortisation'!G265</f>
        <v>137305.70865006768</v>
      </c>
      <c r="J294" s="25">
        <f t="shared" si="26"/>
        <v>974.45531264162855</v>
      </c>
      <c r="M294" s="26" t="e">
        <f t="shared" si="27"/>
        <v>#DIV/0!</v>
      </c>
      <c r="N294" s="1">
        <f t="shared" si="24"/>
        <v>0</v>
      </c>
      <c r="O294" s="44">
        <f t="shared" si="28"/>
        <v>0</v>
      </c>
    </row>
    <row r="295" spans="1:15" x14ac:dyDescent="0.25">
      <c r="A295" s="24">
        <v>47635</v>
      </c>
      <c r="G295" s="46"/>
      <c r="H295" s="22">
        <f t="shared" si="25"/>
        <v>0</v>
      </c>
      <c r="I295" s="25">
        <f>'1 - Amortisation'!G266</f>
        <v>136323.94492258123</v>
      </c>
      <c r="J295" s="25">
        <f t="shared" si="26"/>
        <v>981.76372748645372</v>
      </c>
      <c r="M295" s="26" t="e">
        <f t="shared" si="27"/>
        <v>#DIV/0!</v>
      </c>
      <c r="N295" s="1">
        <f t="shared" si="24"/>
        <v>0</v>
      </c>
      <c r="O295" s="44">
        <f t="shared" si="28"/>
        <v>0</v>
      </c>
    </row>
    <row r="296" spans="1:15" x14ac:dyDescent="0.25">
      <c r="A296" s="24">
        <v>47665</v>
      </c>
      <c r="G296" s="46"/>
      <c r="H296" s="22">
        <f t="shared" si="25"/>
        <v>0</v>
      </c>
      <c r="I296" s="25">
        <f>'1 - Amortisation'!G267</f>
        <v>135334.81796713863</v>
      </c>
      <c r="J296" s="25">
        <f t="shared" si="26"/>
        <v>989.12695544259623</v>
      </c>
      <c r="M296" s="26" t="e">
        <f t="shared" si="27"/>
        <v>#DIV/0!</v>
      </c>
      <c r="N296" s="1">
        <f t="shared" si="24"/>
        <v>0</v>
      </c>
      <c r="O296" s="44">
        <f t="shared" si="28"/>
        <v>0</v>
      </c>
    </row>
    <row r="297" spans="1:15" x14ac:dyDescent="0.25">
      <c r="A297" s="24">
        <v>47696</v>
      </c>
      <c r="G297" s="46"/>
      <c r="H297" s="22">
        <f t="shared" si="25"/>
        <v>0</v>
      </c>
      <c r="I297" s="25">
        <f>'1 - Amortisation'!G268</f>
        <v>134338.27255953022</v>
      </c>
      <c r="J297" s="25">
        <f t="shared" si="26"/>
        <v>996.54540760841337</v>
      </c>
      <c r="M297" s="26" t="e">
        <f t="shared" si="27"/>
        <v>#DIV/0!</v>
      </c>
      <c r="N297" s="1">
        <f t="shared" si="24"/>
        <v>0</v>
      </c>
      <c r="O297" s="44">
        <f t="shared" si="28"/>
        <v>0</v>
      </c>
    </row>
    <row r="298" spans="1:15" x14ac:dyDescent="0.25">
      <c r="A298" s="24">
        <v>47727</v>
      </c>
      <c r="G298" s="46"/>
      <c r="H298" s="22">
        <f t="shared" si="25"/>
        <v>0</v>
      </c>
      <c r="I298" s="25">
        <f>'1 - Amortisation'!G269</f>
        <v>133334.25306136472</v>
      </c>
      <c r="J298" s="25">
        <f t="shared" si="26"/>
        <v>1004.0194981654931</v>
      </c>
      <c r="M298" s="26" t="e">
        <f t="shared" si="27"/>
        <v>#DIV/0!</v>
      </c>
      <c r="N298" s="1">
        <f t="shared" si="24"/>
        <v>0</v>
      </c>
      <c r="O298" s="44">
        <f t="shared" si="28"/>
        <v>0</v>
      </c>
    </row>
    <row r="299" spans="1:15" x14ac:dyDescent="0.25">
      <c r="A299" s="24">
        <v>47757</v>
      </c>
      <c r="G299" s="46"/>
      <c r="H299" s="22">
        <f t="shared" si="25"/>
        <v>0</v>
      </c>
      <c r="I299" s="25">
        <f>'1 - Amortisation'!G270</f>
        <v>132322.70341696299</v>
      </c>
      <c r="J299" s="25">
        <f t="shared" si="26"/>
        <v>1011.5496444017335</v>
      </c>
      <c r="M299" s="26" t="e">
        <f t="shared" si="27"/>
        <v>#DIV/0!</v>
      </c>
      <c r="N299" s="1">
        <f t="shared" si="24"/>
        <v>0</v>
      </c>
      <c r="O299" s="44">
        <f t="shared" si="28"/>
        <v>0</v>
      </c>
    </row>
    <row r="300" spans="1:15" x14ac:dyDescent="0.25">
      <c r="A300" s="24">
        <v>47788</v>
      </c>
      <c r="G300" s="46"/>
      <c r="H300" s="22">
        <f t="shared" si="25"/>
        <v>0</v>
      </c>
      <c r="I300" s="25">
        <f>'1 - Amortisation'!G271</f>
        <v>131303.56715022825</v>
      </c>
      <c r="J300" s="25">
        <f t="shared" si="26"/>
        <v>1019.1362667347421</v>
      </c>
      <c r="M300" s="26" t="e">
        <f t="shared" si="27"/>
        <v>#DIV/0!</v>
      </c>
      <c r="N300" s="1">
        <f t="shared" si="24"/>
        <v>0</v>
      </c>
      <c r="O300" s="44">
        <f t="shared" si="28"/>
        <v>0</v>
      </c>
    </row>
    <row r="301" spans="1:15" x14ac:dyDescent="0.25">
      <c r="A301" s="24">
        <v>47818</v>
      </c>
      <c r="G301" s="46"/>
      <c r="H301" s="22">
        <f t="shared" si="25"/>
        <v>0</v>
      </c>
      <c r="I301" s="25">
        <f>'1 - Amortisation'!G272</f>
        <v>130276.787361493</v>
      </c>
      <c r="J301" s="25">
        <f t="shared" si="26"/>
        <v>1026.7797887352499</v>
      </c>
      <c r="M301" s="26" t="e">
        <f t="shared" si="27"/>
        <v>#DIV/0!</v>
      </c>
      <c r="N301" s="1">
        <f t="shared" si="24"/>
        <v>0</v>
      </c>
      <c r="O301" s="44">
        <f t="shared" si="28"/>
        <v>0</v>
      </c>
    </row>
    <row r="302" spans="1:15" x14ac:dyDescent="0.25">
      <c r="A302" s="24">
        <v>47849</v>
      </c>
      <c r="G302" s="46"/>
      <c r="H302" s="22">
        <f t="shared" si="25"/>
        <v>0</v>
      </c>
      <c r="I302" s="25">
        <f>'1 - Amortisation'!G273</f>
        <v>129242.30672434224</v>
      </c>
      <c r="J302" s="25">
        <f t="shared" si="26"/>
        <v>1034.4806371507584</v>
      </c>
      <c r="M302" s="26" t="e">
        <f t="shared" si="27"/>
        <v>#DIV/0!</v>
      </c>
      <c r="N302" s="1">
        <f t="shared" si="24"/>
        <v>0</v>
      </c>
      <c r="O302" s="44">
        <f t="shared" si="28"/>
        <v>0</v>
      </c>
    </row>
    <row r="303" spans="1:15" x14ac:dyDescent="0.25">
      <c r="A303" s="24">
        <v>47880</v>
      </c>
      <c r="G303" s="46"/>
      <c r="H303" s="22">
        <f t="shared" si="25"/>
        <v>0</v>
      </c>
      <c r="I303" s="25">
        <f>'1 - Amortisation'!G274</f>
        <v>128200.06748241285</v>
      </c>
      <c r="J303" s="25">
        <f t="shared" si="26"/>
        <v>1042.2392419293901</v>
      </c>
      <c r="M303" s="26" t="e">
        <f t="shared" si="27"/>
        <v>#DIV/0!</v>
      </c>
      <c r="N303" s="1">
        <f t="shared" si="24"/>
        <v>0</v>
      </c>
      <c r="O303" s="44">
        <f t="shared" si="28"/>
        <v>0</v>
      </c>
    </row>
    <row r="304" spans="1:15" x14ac:dyDescent="0.25">
      <c r="A304" s="24">
        <v>47908</v>
      </c>
      <c r="G304" s="46"/>
      <c r="H304" s="22">
        <f t="shared" si="25"/>
        <v>0</v>
      </c>
      <c r="I304" s="25">
        <f>'1 - Amortisation'!G275</f>
        <v>127150.011446169</v>
      </c>
      <c r="J304" s="25">
        <f t="shared" si="26"/>
        <v>1050.0560362438555</v>
      </c>
      <c r="M304" s="26" t="e">
        <f t="shared" si="27"/>
        <v>#DIV/0!</v>
      </c>
      <c r="N304" s="1">
        <f t="shared" si="24"/>
        <v>0</v>
      </c>
      <c r="O304" s="44">
        <f t="shared" si="28"/>
        <v>0</v>
      </c>
    </row>
    <row r="305" spans="1:15" x14ac:dyDescent="0.25">
      <c r="A305" s="24">
        <v>47939</v>
      </c>
      <c r="G305" s="46"/>
      <c r="H305" s="22">
        <f t="shared" si="25"/>
        <v>0</v>
      </c>
      <c r="I305" s="25">
        <f>'1 - Amortisation'!G276</f>
        <v>126092.07998965331</v>
      </c>
      <c r="J305" s="25">
        <f t="shared" si="26"/>
        <v>1057.9314565156819</v>
      </c>
      <c r="M305" s="26" t="e">
        <f t="shared" si="27"/>
        <v>#DIV/0!</v>
      </c>
      <c r="N305" s="1">
        <f t="shared" si="24"/>
        <v>0</v>
      </c>
      <c r="O305" s="44">
        <f t="shared" si="28"/>
        <v>0</v>
      </c>
    </row>
    <row r="306" spans="1:15" x14ac:dyDescent="0.25">
      <c r="A306" s="24">
        <v>47969</v>
      </c>
      <c r="G306" s="46"/>
      <c r="H306" s="22">
        <f t="shared" si="25"/>
        <v>0</v>
      </c>
      <c r="I306" s="25">
        <f>'1 - Amortisation'!G277</f>
        <v>125026.21404721375</v>
      </c>
      <c r="J306" s="25">
        <f t="shared" si="26"/>
        <v>1065.8659424395591</v>
      </c>
      <c r="M306" s="26" t="e">
        <f t="shared" si="27"/>
        <v>#DIV/0!</v>
      </c>
      <c r="N306" s="1">
        <f t="shared" si="24"/>
        <v>0</v>
      </c>
      <c r="O306" s="44">
        <f t="shared" si="28"/>
        <v>0</v>
      </c>
    </row>
    <row r="307" spans="1:15" x14ac:dyDescent="0.25">
      <c r="A307" s="24">
        <v>48000</v>
      </c>
      <c r="G307" s="46"/>
      <c r="H307" s="22">
        <f t="shared" si="25"/>
        <v>0</v>
      </c>
      <c r="I307" s="25">
        <f>'1 - Amortisation'!G278</f>
        <v>123952.3541102059</v>
      </c>
      <c r="J307" s="25">
        <f t="shared" si="26"/>
        <v>1073.8599370078591</v>
      </c>
      <c r="M307" s="26" t="e">
        <f t="shared" si="27"/>
        <v>#DIV/0!</v>
      </c>
      <c r="N307" s="1">
        <f t="shared" si="24"/>
        <v>0</v>
      </c>
      <c r="O307" s="44">
        <f t="shared" si="28"/>
        <v>0</v>
      </c>
    </row>
    <row r="308" spans="1:15" x14ac:dyDescent="0.25">
      <c r="A308" s="24">
        <v>48030</v>
      </c>
      <c r="G308" s="46"/>
      <c r="H308" s="22">
        <f t="shared" si="25"/>
        <v>0</v>
      </c>
      <c r="I308" s="25">
        <f>'1 - Amortisation'!G279</f>
        <v>122870.44022367048</v>
      </c>
      <c r="J308" s="25">
        <f t="shared" si="26"/>
        <v>1081.913886535418</v>
      </c>
      <c r="M308" s="26" t="e">
        <f t="shared" si="27"/>
        <v>#DIV/0!</v>
      </c>
      <c r="N308" s="1">
        <f t="shared" si="24"/>
        <v>0</v>
      </c>
      <c r="O308" s="44">
        <f t="shared" si="28"/>
        <v>0</v>
      </c>
    </row>
    <row r="309" spans="1:15" x14ac:dyDescent="0.25">
      <c r="A309" s="24">
        <v>48061</v>
      </c>
      <c r="G309" s="46"/>
      <c r="H309" s="22">
        <f t="shared" si="25"/>
        <v>0</v>
      </c>
      <c r="I309" s="25">
        <f>'1 - Amortisation'!G280</f>
        <v>121780.41198298606</v>
      </c>
      <c r="J309" s="25">
        <f t="shared" si="26"/>
        <v>1090.0282406844199</v>
      </c>
      <c r="M309" s="26" t="e">
        <f t="shared" si="27"/>
        <v>#DIV/0!</v>
      </c>
      <c r="N309" s="1">
        <f t="shared" si="24"/>
        <v>0</v>
      </c>
      <c r="O309" s="44">
        <f t="shared" si="28"/>
        <v>0</v>
      </c>
    </row>
    <row r="310" spans="1:15" x14ac:dyDescent="0.25">
      <c r="A310" s="24">
        <v>48092</v>
      </c>
      <c r="G310" s="46"/>
      <c r="H310" s="22">
        <f t="shared" si="25"/>
        <v>0</v>
      </c>
      <c r="I310" s="25">
        <f>'1 - Amortisation'!G281</f>
        <v>120682.2085304965</v>
      </c>
      <c r="J310" s="25">
        <f t="shared" si="26"/>
        <v>1098.2034524895571</v>
      </c>
      <c r="M310" s="26" t="e">
        <f t="shared" si="27"/>
        <v>#DIV/0!</v>
      </c>
      <c r="N310" s="1">
        <f t="shared" si="24"/>
        <v>0</v>
      </c>
      <c r="O310" s="44">
        <f t="shared" si="28"/>
        <v>0</v>
      </c>
    </row>
    <row r="311" spans="1:15" x14ac:dyDescent="0.25">
      <c r="A311" s="24">
        <v>48122</v>
      </c>
      <c r="G311" s="46"/>
      <c r="H311" s="22">
        <f t="shared" si="25"/>
        <v>0</v>
      </c>
      <c r="I311" s="25">
        <f>'1 - Amortisation'!G282</f>
        <v>119575.76855211327</v>
      </c>
      <c r="J311" s="25">
        <f t="shared" si="26"/>
        <v>1106.4399783832341</v>
      </c>
      <c r="M311" s="26" t="e">
        <f t="shared" si="27"/>
        <v>#DIV/0!</v>
      </c>
      <c r="N311" s="1">
        <f t="shared" si="24"/>
        <v>0</v>
      </c>
      <c r="O311" s="44">
        <f t="shared" si="28"/>
        <v>0</v>
      </c>
    </row>
    <row r="312" spans="1:15" x14ac:dyDescent="0.25">
      <c r="A312" s="24">
        <v>48153</v>
      </c>
      <c r="G312" s="46"/>
      <c r="H312" s="22">
        <f t="shared" si="25"/>
        <v>0</v>
      </c>
      <c r="I312" s="25">
        <f>'1 - Amortisation'!G283</f>
        <v>118461.03027389216</v>
      </c>
      <c r="J312" s="25">
        <f t="shared" si="26"/>
        <v>1114.7382782211062</v>
      </c>
      <c r="M312" s="26" t="e">
        <f t="shared" si="27"/>
        <v>#DIV/0!</v>
      </c>
      <c r="N312" s="1">
        <f t="shared" si="24"/>
        <v>0</v>
      </c>
      <c r="O312" s="44">
        <f t="shared" si="28"/>
        <v>0</v>
      </c>
    </row>
    <row r="313" spans="1:15" x14ac:dyDescent="0.25">
      <c r="A313" s="24">
        <v>48183</v>
      </c>
      <c r="G313" s="46"/>
      <c r="H313" s="22">
        <f t="shared" si="25"/>
        <v>0</v>
      </c>
      <c r="I313" s="25">
        <f>'1 - Amortisation'!G284</f>
        <v>117337.9314585844</v>
      </c>
      <c r="J313" s="25">
        <f t="shared" si="26"/>
        <v>1123.0988153077633</v>
      </c>
      <c r="M313" s="26" t="e">
        <f t="shared" si="27"/>
        <v>#DIV/0!</v>
      </c>
      <c r="N313" s="1">
        <f t="shared" si="24"/>
        <v>0</v>
      </c>
      <c r="O313" s="44">
        <f t="shared" si="28"/>
        <v>0</v>
      </c>
    </row>
    <row r="314" spans="1:15" x14ac:dyDescent="0.25">
      <c r="A314" s="24">
        <v>48214</v>
      </c>
      <c r="G314" s="46"/>
      <c r="H314" s="22">
        <f t="shared" si="25"/>
        <v>0</v>
      </c>
      <c r="I314" s="25">
        <f>'1 - Amortisation'!G285</f>
        <v>116206.40940216182</v>
      </c>
      <c r="J314" s="25">
        <f t="shared" si="26"/>
        <v>1131.5220564225747</v>
      </c>
      <c r="M314" s="26" t="e">
        <f t="shared" si="27"/>
        <v>#DIV/0!</v>
      </c>
      <c r="N314" s="1">
        <f t="shared" si="24"/>
        <v>0</v>
      </c>
      <c r="O314" s="44">
        <f t="shared" si="28"/>
        <v>0</v>
      </c>
    </row>
    <row r="315" spans="1:15" x14ac:dyDescent="0.25">
      <c r="A315" s="24">
        <v>48245</v>
      </c>
      <c r="G315" s="46"/>
      <c r="H315" s="22">
        <f t="shared" si="25"/>
        <v>0</v>
      </c>
      <c r="I315" s="25">
        <f>'1 - Amortisation'!G286</f>
        <v>115066.40093031609</v>
      </c>
      <c r="J315" s="25">
        <f t="shared" si="26"/>
        <v>1140.0084718457365</v>
      </c>
      <c r="M315" s="26" t="e">
        <f t="shared" si="27"/>
        <v>#DIV/0!</v>
      </c>
      <c r="N315" s="1">
        <f t="shared" si="24"/>
        <v>0</v>
      </c>
      <c r="O315" s="44">
        <f t="shared" si="28"/>
        <v>0</v>
      </c>
    </row>
    <row r="316" spans="1:15" x14ac:dyDescent="0.25">
      <c r="A316" s="24">
        <v>48274</v>
      </c>
      <c r="G316" s="46"/>
      <c r="H316" s="22">
        <f t="shared" si="25"/>
        <v>0</v>
      </c>
      <c r="I316" s="25">
        <f>'1 - Amortisation'!G287</f>
        <v>113917.8423949315</v>
      </c>
      <c r="J316" s="25">
        <f t="shared" si="26"/>
        <v>1148.5585353845818</v>
      </c>
      <c r="M316" s="26" t="e">
        <f t="shared" si="27"/>
        <v>#DIV/0!</v>
      </c>
      <c r="N316" s="1">
        <f t="shared" si="24"/>
        <v>0</v>
      </c>
      <c r="O316" s="44">
        <f t="shared" si="28"/>
        <v>0</v>
      </c>
    </row>
    <row r="317" spans="1:15" x14ac:dyDescent="0.25">
      <c r="A317" s="24">
        <v>48305</v>
      </c>
      <c r="G317" s="46"/>
      <c r="H317" s="22">
        <f t="shared" si="25"/>
        <v>0</v>
      </c>
      <c r="I317" s="25">
        <f>'1 - Amortisation'!G288</f>
        <v>112760.66967053154</v>
      </c>
      <c r="J317" s="25">
        <f t="shared" si="26"/>
        <v>1157.172724399963</v>
      </c>
      <c r="M317" s="26" t="e">
        <f t="shared" si="27"/>
        <v>#DIV/0!</v>
      </c>
      <c r="N317" s="1">
        <f t="shared" si="24"/>
        <v>0</v>
      </c>
      <c r="O317" s="44">
        <f t="shared" si="28"/>
        <v>0</v>
      </c>
    </row>
    <row r="318" spans="1:15" x14ac:dyDescent="0.25">
      <c r="A318" s="24">
        <v>48335</v>
      </c>
      <c r="G318" s="46"/>
      <c r="H318" s="22">
        <f t="shared" si="25"/>
        <v>0</v>
      </c>
      <c r="I318" s="25">
        <f>'1 - Amortisation'!G289</f>
        <v>111594.81815069857</v>
      </c>
      <c r="J318" s="25">
        <f t="shared" si="26"/>
        <v>1165.8515198329696</v>
      </c>
      <c r="M318" s="26" t="e">
        <f t="shared" si="27"/>
        <v>#DIV/0!</v>
      </c>
      <c r="N318" s="1">
        <f t="shared" si="24"/>
        <v>0</v>
      </c>
      <c r="O318" s="44">
        <f t="shared" si="28"/>
        <v>0</v>
      </c>
    </row>
    <row r="319" spans="1:15" x14ac:dyDescent="0.25">
      <c r="A319" s="24">
        <v>48366</v>
      </c>
      <c r="G319" s="46"/>
      <c r="H319" s="22">
        <f t="shared" si="25"/>
        <v>0</v>
      </c>
      <c r="I319" s="25">
        <f>'1 - Amortisation'!G290</f>
        <v>110420.22274446685</v>
      </c>
      <c r="J319" s="25">
        <f t="shared" si="26"/>
        <v>1174.5954062317178</v>
      </c>
      <c r="M319" s="26" t="e">
        <f t="shared" si="27"/>
        <v>#DIV/0!</v>
      </c>
      <c r="N319" s="1">
        <f t="shared" si="24"/>
        <v>0</v>
      </c>
      <c r="O319" s="44">
        <f t="shared" si="28"/>
        <v>0</v>
      </c>
    </row>
    <row r="320" spans="1:15" x14ac:dyDescent="0.25">
      <c r="A320" s="24">
        <v>48396</v>
      </c>
      <c r="G320" s="46"/>
      <c r="H320" s="22">
        <f t="shared" si="25"/>
        <v>0</v>
      </c>
      <c r="I320" s="25">
        <f>'1 - Amortisation'!G291</f>
        <v>109236.81787268839</v>
      </c>
      <c r="J320" s="25">
        <f t="shared" si="26"/>
        <v>1183.4048717784608</v>
      </c>
      <c r="M320" s="26" t="e">
        <f t="shared" si="27"/>
        <v>#DIV/0!</v>
      </c>
      <c r="N320" s="1">
        <f t="shared" si="24"/>
        <v>0</v>
      </c>
      <c r="O320" s="44">
        <f t="shared" si="28"/>
        <v>0</v>
      </c>
    </row>
    <row r="321" spans="1:15" x14ac:dyDescent="0.25">
      <c r="A321" s="24">
        <v>48427</v>
      </c>
      <c r="G321" s="46"/>
      <c r="H321" s="22">
        <f t="shared" si="25"/>
        <v>0</v>
      </c>
      <c r="I321" s="25">
        <f>'1 - Amortisation'!G292</f>
        <v>108044.53746437161</v>
      </c>
      <c r="J321" s="25">
        <f t="shared" si="26"/>
        <v>1192.2804083167866</v>
      </c>
      <c r="M321" s="26" t="e">
        <f t="shared" si="27"/>
        <v>#DIV/0!</v>
      </c>
      <c r="N321" s="1">
        <f t="shared" si="24"/>
        <v>0</v>
      </c>
      <c r="O321" s="44">
        <f t="shared" si="28"/>
        <v>0</v>
      </c>
    </row>
    <row r="322" spans="1:15" x14ac:dyDescent="0.25">
      <c r="A322" s="24">
        <v>48458</v>
      </c>
      <c r="G322" s="46"/>
      <c r="H322" s="22">
        <f t="shared" si="25"/>
        <v>0</v>
      </c>
      <c r="I322" s="25">
        <f>'1 - Amortisation'!G293</f>
        <v>106843.31495299244</v>
      </c>
      <c r="J322" s="25">
        <f t="shared" si="26"/>
        <v>1201.2225113791646</v>
      </c>
      <c r="M322" s="26" t="e">
        <f t="shared" si="27"/>
        <v>#DIV/0!</v>
      </c>
      <c r="N322" s="1">
        <f t="shared" si="24"/>
        <v>0</v>
      </c>
      <c r="O322" s="44">
        <f t="shared" si="28"/>
        <v>0</v>
      </c>
    </row>
    <row r="323" spans="1:15" x14ac:dyDescent="0.25">
      <c r="A323" s="24">
        <v>48488</v>
      </c>
      <c r="G323" s="46"/>
      <c r="H323" s="22">
        <f t="shared" si="25"/>
        <v>0</v>
      </c>
      <c r="I323" s="25">
        <f>'1 - Amortisation'!G294</f>
        <v>105633.08327277793</v>
      </c>
      <c r="J323" s="25">
        <f t="shared" si="26"/>
        <v>1210.2316802145069</v>
      </c>
      <c r="M323" s="26" t="e">
        <f t="shared" si="27"/>
        <v>#DIV/0!</v>
      </c>
      <c r="N323" s="1">
        <f t="shared" si="24"/>
        <v>0</v>
      </c>
      <c r="O323" s="44">
        <f t="shared" si="28"/>
        <v>0</v>
      </c>
    </row>
    <row r="324" spans="1:15" x14ac:dyDescent="0.25">
      <c r="A324" s="24">
        <v>48519</v>
      </c>
      <c r="G324" s="46"/>
      <c r="H324" s="22">
        <f t="shared" si="25"/>
        <v>0</v>
      </c>
      <c r="I324" s="25">
        <f>'1 - Amortisation'!G295</f>
        <v>104413.77485496181</v>
      </c>
      <c r="J324" s="25">
        <f t="shared" si="26"/>
        <v>1219.3084178161225</v>
      </c>
      <c r="M324" s="26" t="e">
        <f t="shared" si="27"/>
        <v>#DIV/0!</v>
      </c>
      <c r="N324" s="1">
        <f t="shared" si="24"/>
        <v>0</v>
      </c>
      <c r="O324" s="44">
        <f t="shared" si="28"/>
        <v>0</v>
      </c>
    </row>
    <row r="325" spans="1:15" x14ac:dyDescent="0.25">
      <c r="A325" s="24">
        <v>48549</v>
      </c>
      <c r="G325" s="46"/>
      <c r="H325" s="22">
        <f t="shared" si="25"/>
        <v>0</v>
      </c>
      <c r="I325" s="25">
        <f>'1 - Amortisation'!G296</f>
        <v>103185.32162401207</v>
      </c>
      <c r="J325" s="25">
        <f t="shared" si="26"/>
        <v>1228.4532309497445</v>
      </c>
      <c r="M325" s="26" t="e">
        <f t="shared" si="27"/>
        <v>#DIV/0!</v>
      </c>
      <c r="N325" s="1">
        <f t="shared" si="24"/>
        <v>0</v>
      </c>
      <c r="O325" s="44">
        <f t="shared" si="28"/>
        <v>0</v>
      </c>
    </row>
    <row r="326" spans="1:15" x14ac:dyDescent="0.25">
      <c r="A326" s="24">
        <v>48580</v>
      </c>
      <c r="G326" s="46"/>
      <c r="H326" s="22">
        <f t="shared" si="25"/>
        <v>0</v>
      </c>
      <c r="I326" s="25">
        <f>'1 - Amortisation'!G297</f>
        <v>101947.65499383021</v>
      </c>
      <c r="J326" s="25">
        <f t="shared" si="26"/>
        <v>1237.6666301818623</v>
      </c>
      <c r="M326" s="26" t="e">
        <f t="shared" si="27"/>
        <v>#DIV/0!</v>
      </c>
      <c r="N326" s="1">
        <f t="shared" si="24"/>
        <v>0</v>
      </c>
      <c r="O326" s="44">
        <f t="shared" si="28"/>
        <v>0</v>
      </c>
    </row>
    <row r="327" spans="1:15" x14ac:dyDescent="0.25">
      <c r="A327" s="24">
        <v>48611</v>
      </c>
      <c r="G327" s="46"/>
      <c r="H327" s="22">
        <f t="shared" si="25"/>
        <v>0</v>
      </c>
      <c r="I327" s="25">
        <f>'1 - Amortisation'!G298</f>
        <v>100700.70586392198</v>
      </c>
      <c r="J327" s="25">
        <f t="shared" si="26"/>
        <v>1246.9491299082292</v>
      </c>
      <c r="M327" s="26" t="e">
        <f t="shared" si="27"/>
        <v>#DIV/0!</v>
      </c>
      <c r="N327" s="1">
        <f t="shared" si="24"/>
        <v>0</v>
      </c>
      <c r="O327" s="44">
        <f t="shared" si="28"/>
        <v>0</v>
      </c>
    </row>
    <row r="328" spans="1:15" x14ac:dyDescent="0.25">
      <c r="A328" s="24">
        <v>48639</v>
      </c>
      <c r="G328" s="46"/>
      <c r="H328" s="22">
        <f t="shared" si="25"/>
        <v>0</v>
      </c>
      <c r="I328" s="25">
        <f>'1 - Amortisation'!G299</f>
        <v>99444.404615539432</v>
      </c>
      <c r="J328" s="25">
        <f t="shared" si="26"/>
        <v>1256.3012483825441</v>
      </c>
      <c r="M328" s="26" t="e">
        <f t="shared" si="27"/>
        <v>#DIV/0!</v>
      </c>
      <c r="N328" s="1">
        <f t="shared" si="24"/>
        <v>0</v>
      </c>
      <c r="O328" s="44">
        <f t="shared" si="28"/>
        <v>0</v>
      </c>
    </row>
    <row r="329" spans="1:15" x14ac:dyDescent="0.25">
      <c r="A329" s="24">
        <v>48670</v>
      </c>
      <c r="G329" s="46"/>
      <c r="H329" s="22">
        <f t="shared" si="25"/>
        <v>0</v>
      </c>
      <c r="I329" s="25">
        <f>'1 - Amortisation'!G300</f>
        <v>98178.681107794022</v>
      </c>
      <c r="J329" s="25">
        <f t="shared" si="26"/>
        <v>1265.7235077454097</v>
      </c>
      <c r="M329" s="26" t="e">
        <f t="shared" si="27"/>
        <v>#DIV/0!</v>
      </c>
      <c r="N329" s="1">
        <f t="shared" si="24"/>
        <v>0</v>
      </c>
      <c r="O329" s="44">
        <f t="shared" si="28"/>
        <v>0</v>
      </c>
    </row>
    <row r="330" spans="1:15" x14ac:dyDescent="0.25">
      <c r="A330" s="24">
        <v>48700</v>
      </c>
      <c r="G330" s="46"/>
      <c r="H330" s="22">
        <f t="shared" si="25"/>
        <v>0</v>
      </c>
      <c r="I330" s="25">
        <f>'1 - Amortisation'!G301</f>
        <v>96903.464673740527</v>
      </c>
      <c r="J330" s="25">
        <f t="shared" si="26"/>
        <v>1275.2164340534946</v>
      </c>
      <c r="M330" s="26" t="e">
        <f t="shared" si="27"/>
        <v>#DIV/0!</v>
      </c>
      <c r="N330" s="1">
        <f t="shared" si="24"/>
        <v>0</v>
      </c>
      <c r="O330" s="44">
        <f t="shared" si="28"/>
        <v>0</v>
      </c>
    </row>
    <row r="331" spans="1:15" x14ac:dyDescent="0.25">
      <c r="A331" s="24">
        <v>48731</v>
      </c>
      <c r="G331" s="46"/>
      <c r="H331" s="22">
        <f t="shared" si="25"/>
        <v>0</v>
      </c>
      <c r="I331" s="25">
        <f>'1 - Amortisation'!G302</f>
        <v>95618.684116431628</v>
      </c>
      <c r="J331" s="25">
        <f t="shared" si="26"/>
        <v>1284.780557308899</v>
      </c>
      <c r="M331" s="26" t="e">
        <f t="shared" si="27"/>
        <v>#DIV/0!</v>
      </c>
      <c r="N331" s="1">
        <f t="shared" si="24"/>
        <v>0</v>
      </c>
      <c r="O331" s="44">
        <f t="shared" si="28"/>
        <v>0</v>
      </c>
    </row>
    <row r="332" spans="1:15" x14ac:dyDescent="0.25">
      <c r="A332" s="24">
        <v>48761</v>
      </c>
      <c r="G332" s="46"/>
      <c r="H332" s="22">
        <f t="shared" si="25"/>
        <v>0</v>
      </c>
      <c r="I332" s="25">
        <f>'1 - Amortisation'!G303</f>
        <v>94324.267704942904</v>
      </c>
      <c r="J332" s="25">
        <f t="shared" si="26"/>
        <v>1294.4164114887244</v>
      </c>
      <c r="M332" s="26" t="e">
        <f t="shared" si="27"/>
        <v>#DIV/0!</v>
      </c>
      <c r="N332" s="1">
        <f t="shared" si="24"/>
        <v>0</v>
      </c>
      <c r="O332" s="44">
        <f t="shared" si="28"/>
        <v>0</v>
      </c>
    </row>
    <row r="333" spans="1:15" x14ac:dyDescent="0.25">
      <c r="A333" s="24">
        <v>48792</v>
      </c>
      <c r="G333" s="46"/>
      <c r="H333" s="22">
        <f t="shared" si="25"/>
        <v>0</v>
      </c>
      <c r="I333" s="25">
        <f>'1 - Amortisation'!G304</f>
        <v>93020.143170368014</v>
      </c>
      <c r="J333" s="25">
        <f t="shared" si="26"/>
        <v>1304.1245345748903</v>
      </c>
      <c r="M333" s="26" t="e">
        <f t="shared" si="27"/>
        <v>#DIV/0!</v>
      </c>
      <c r="N333" s="1">
        <f t="shared" si="24"/>
        <v>0</v>
      </c>
      <c r="O333" s="44">
        <f t="shared" si="28"/>
        <v>0</v>
      </c>
    </row>
    <row r="334" spans="1:15" x14ac:dyDescent="0.25">
      <c r="A334" s="24">
        <v>48823</v>
      </c>
      <c r="G334" s="46"/>
      <c r="H334" s="22">
        <f t="shared" si="25"/>
        <v>0</v>
      </c>
      <c r="I334" s="25">
        <f>'1 - Amortisation'!G305</f>
        <v>91706.237701783815</v>
      </c>
      <c r="J334" s="25">
        <f t="shared" si="26"/>
        <v>1313.9054685841984</v>
      </c>
      <c r="M334" s="26" t="e">
        <f t="shared" si="27"/>
        <v>#DIV/0!</v>
      </c>
      <c r="N334" s="1">
        <f t="shared" si="24"/>
        <v>0</v>
      </c>
      <c r="O334" s="44">
        <f t="shared" si="28"/>
        <v>0</v>
      </c>
    </row>
    <row r="335" spans="1:15" x14ac:dyDescent="0.25">
      <c r="A335" s="24">
        <v>48853</v>
      </c>
      <c r="G335" s="46"/>
      <c r="H335" s="22">
        <f t="shared" si="25"/>
        <v>0</v>
      </c>
      <c r="I335" s="25">
        <f>'1 - Amortisation'!G306</f>
        <v>90382.477942185244</v>
      </c>
      <c r="J335" s="25">
        <f t="shared" si="26"/>
        <v>1323.7597595985717</v>
      </c>
      <c r="M335" s="26" t="e">
        <f t="shared" si="27"/>
        <v>#DIV/0!</v>
      </c>
      <c r="N335" s="1">
        <f t="shared" si="24"/>
        <v>0</v>
      </c>
      <c r="O335" s="44">
        <f t="shared" si="28"/>
        <v>0</v>
      </c>
    </row>
    <row r="336" spans="1:15" x14ac:dyDescent="0.25">
      <c r="A336" s="24">
        <v>48884</v>
      </c>
      <c r="G336" s="46"/>
      <c r="H336" s="22">
        <f t="shared" si="25"/>
        <v>0</v>
      </c>
      <c r="I336" s="25">
        <f>'1 - Amortisation'!G307</f>
        <v>89048.789984389674</v>
      </c>
      <c r="J336" s="25">
        <f t="shared" si="26"/>
        <v>1333.6879577955697</v>
      </c>
      <c r="M336" s="26" t="e">
        <f t="shared" si="27"/>
        <v>#DIV/0!</v>
      </c>
      <c r="N336" s="1">
        <f t="shared" si="24"/>
        <v>0</v>
      </c>
      <c r="O336" s="44">
        <f t="shared" si="28"/>
        <v>0</v>
      </c>
    </row>
    <row r="337" spans="1:15" x14ac:dyDescent="0.25">
      <c r="A337" s="24">
        <v>48914</v>
      </c>
      <c r="G337" s="46"/>
      <c r="H337" s="22">
        <f t="shared" si="25"/>
        <v>0</v>
      </c>
      <c r="I337" s="25">
        <f>'1 - Amortisation'!G308</f>
        <v>87705.099366910639</v>
      </c>
      <c r="J337" s="25">
        <f t="shared" si="26"/>
        <v>1343.6906174790347</v>
      </c>
      <c r="M337" s="26" t="e">
        <f t="shared" si="27"/>
        <v>#DIV/0!</v>
      </c>
      <c r="N337" s="1">
        <f t="shared" si="24"/>
        <v>0</v>
      </c>
      <c r="O337" s="44">
        <f t="shared" si="28"/>
        <v>0</v>
      </c>
    </row>
    <row r="338" spans="1:15" x14ac:dyDescent="0.25">
      <c r="A338" s="24">
        <v>48945</v>
      </c>
      <c r="G338" s="46"/>
      <c r="H338" s="22">
        <f t="shared" si="25"/>
        <v>0</v>
      </c>
      <c r="I338" s="25">
        <f>'1 - Amortisation'!G309</f>
        <v>86351.331069800508</v>
      </c>
      <c r="J338" s="25">
        <f t="shared" si="26"/>
        <v>1353.7682971101312</v>
      </c>
      <c r="M338" s="26" t="e">
        <f t="shared" si="27"/>
        <v>#DIV/0!</v>
      </c>
      <c r="N338" s="1">
        <f t="shared" si="24"/>
        <v>0</v>
      </c>
      <c r="O338" s="44">
        <f t="shared" si="28"/>
        <v>0</v>
      </c>
    </row>
    <row r="339" spans="1:15" x14ac:dyDescent="0.25">
      <c r="A339" s="24">
        <v>48976</v>
      </c>
      <c r="G339" s="46"/>
      <c r="H339" s="22">
        <f t="shared" si="25"/>
        <v>0</v>
      </c>
      <c r="I339" s="25">
        <f>'1 - Amortisation'!G310</f>
        <v>84987.40951046205</v>
      </c>
      <c r="J339" s="25">
        <f t="shared" si="26"/>
        <v>1363.9215593384579</v>
      </c>
      <c r="M339" s="26" t="e">
        <f t="shared" si="27"/>
        <v>#DIV/0!</v>
      </c>
      <c r="N339" s="1">
        <f t="shared" si="24"/>
        <v>0</v>
      </c>
      <c r="O339" s="44">
        <f t="shared" si="28"/>
        <v>0</v>
      </c>
    </row>
    <row r="340" spans="1:15" x14ac:dyDescent="0.25">
      <c r="A340" s="24">
        <v>49004</v>
      </c>
      <c r="G340" s="46"/>
      <c r="H340" s="22">
        <f t="shared" si="25"/>
        <v>0</v>
      </c>
      <c r="I340" s="25">
        <f>'1 - Amortisation'!G311</f>
        <v>83613.258539428556</v>
      </c>
      <c r="J340" s="25">
        <f t="shared" si="26"/>
        <v>1374.150971033494</v>
      </c>
      <c r="M340" s="26" t="e">
        <f t="shared" si="27"/>
        <v>#DIV/0!</v>
      </c>
      <c r="N340" s="1">
        <f t="shared" si="24"/>
        <v>0</v>
      </c>
      <c r="O340" s="44">
        <f t="shared" si="28"/>
        <v>0</v>
      </c>
    </row>
    <row r="341" spans="1:15" x14ac:dyDescent="0.25">
      <c r="A341" s="24">
        <v>49035</v>
      </c>
      <c r="G341" s="46"/>
      <c r="H341" s="22">
        <f t="shared" si="25"/>
        <v>0</v>
      </c>
      <c r="I341" s="25">
        <f>'1 - Amortisation'!G312</f>
        <v>82228.801436112321</v>
      </c>
      <c r="J341" s="25">
        <f t="shared" si="26"/>
        <v>1384.4571033162356</v>
      </c>
      <c r="M341" s="26" t="e">
        <f t="shared" si="27"/>
        <v>#DIV/0!</v>
      </c>
      <c r="N341" s="1">
        <f t="shared" si="24"/>
        <v>0</v>
      </c>
      <c r="O341" s="44">
        <f t="shared" si="28"/>
        <v>0</v>
      </c>
    </row>
    <row r="342" spans="1:15" x14ac:dyDescent="0.25">
      <c r="A342" s="24">
        <v>49065</v>
      </c>
      <c r="G342" s="46"/>
      <c r="H342" s="22">
        <f t="shared" si="25"/>
        <v>0</v>
      </c>
      <c r="I342" s="25">
        <f>'1 - Amortisation'!G313</f>
        <v>80833.960904521213</v>
      </c>
      <c r="J342" s="25">
        <f t="shared" si="26"/>
        <v>1394.8405315911077</v>
      </c>
      <c r="M342" s="26" t="e">
        <f t="shared" si="27"/>
        <v>#DIV/0!</v>
      </c>
      <c r="N342" s="1">
        <f t="shared" si="24"/>
        <v>0</v>
      </c>
      <c r="O342" s="44">
        <f t="shared" si="28"/>
        <v>0</v>
      </c>
    </row>
    <row r="343" spans="1:15" x14ac:dyDescent="0.25">
      <c r="A343" s="24">
        <v>49096</v>
      </c>
      <c r="G343" s="46"/>
      <c r="H343" s="22">
        <f t="shared" si="25"/>
        <v>0</v>
      </c>
      <c r="I343" s="25">
        <f>'1 - Amortisation'!G314</f>
        <v>79428.659068943161</v>
      </c>
      <c r="J343" s="25">
        <f t="shared" si="26"/>
        <v>1405.3018355780514</v>
      </c>
      <c r="M343" s="26" t="e">
        <f t="shared" si="27"/>
        <v>#DIV/0!</v>
      </c>
      <c r="N343" s="1">
        <f t="shared" si="24"/>
        <v>0</v>
      </c>
      <c r="O343" s="44">
        <f t="shared" si="28"/>
        <v>0</v>
      </c>
    </row>
    <row r="344" spans="1:15" x14ac:dyDescent="0.25">
      <c r="A344" s="24">
        <v>49126</v>
      </c>
      <c r="G344" s="46"/>
      <c r="H344" s="22">
        <f t="shared" si="25"/>
        <v>0</v>
      </c>
      <c r="I344" s="25">
        <f>'1 - Amortisation'!G315</f>
        <v>78012.817469598274</v>
      </c>
      <c r="J344" s="25">
        <f t="shared" si="26"/>
        <v>1415.8415993448871</v>
      </c>
      <c r="M344" s="26" t="e">
        <f t="shared" si="27"/>
        <v>#DIV/0!</v>
      </c>
      <c r="N344" s="1">
        <f t="shared" ref="N344:N390" si="29">IF(F344&gt;0,F343-F344,0)</f>
        <v>0</v>
      </c>
      <c r="O344" s="44">
        <f t="shared" si="28"/>
        <v>0</v>
      </c>
    </row>
    <row r="345" spans="1:15" x14ac:dyDescent="0.25">
      <c r="A345" s="24">
        <v>49157</v>
      </c>
      <c r="G345" s="46"/>
      <c r="H345" s="22">
        <f t="shared" si="25"/>
        <v>0</v>
      </c>
      <c r="I345" s="25">
        <f>'1 - Amortisation'!G316</f>
        <v>76586.357058258305</v>
      </c>
      <c r="J345" s="25">
        <f t="shared" si="26"/>
        <v>1426.4604113399691</v>
      </c>
      <c r="M345" s="26" t="e">
        <f t="shared" si="27"/>
        <v>#DIV/0!</v>
      </c>
      <c r="N345" s="1">
        <f t="shared" si="29"/>
        <v>0</v>
      </c>
      <c r="O345" s="44">
        <f t="shared" si="28"/>
        <v>0</v>
      </c>
    </row>
    <row r="346" spans="1:15" x14ac:dyDescent="0.25">
      <c r="A346" s="24">
        <v>49188</v>
      </c>
      <c r="G346" s="46"/>
      <c r="H346" s="22">
        <f t="shared" si="25"/>
        <v>0</v>
      </c>
      <c r="I346" s="25">
        <f>'1 - Amortisation'!G317</f>
        <v>75149.19819383329</v>
      </c>
      <c r="J346" s="25">
        <f t="shared" si="26"/>
        <v>1437.1588644250151</v>
      </c>
      <c r="M346" s="26" t="e">
        <f t="shared" si="27"/>
        <v>#DIV/0!</v>
      </c>
      <c r="N346" s="1">
        <f t="shared" si="29"/>
        <v>0</v>
      </c>
      <c r="O346" s="44">
        <f t="shared" si="28"/>
        <v>0</v>
      </c>
    </row>
    <row r="347" spans="1:15" x14ac:dyDescent="0.25">
      <c r="A347" s="24">
        <v>49218</v>
      </c>
      <c r="G347" s="46"/>
      <c r="H347" s="22">
        <f t="shared" si="25"/>
        <v>0</v>
      </c>
      <c r="I347" s="25">
        <f>'1 - Amortisation'!G318</f>
        <v>73701.260637925079</v>
      </c>
      <c r="J347" s="25">
        <f t="shared" si="26"/>
        <v>1447.9375559082109</v>
      </c>
      <c r="M347" s="26" t="e">
        <f t="shared" si="27"/>
        <v>#DIV/0!</v>
      </c>
      <c r="N347" s="1">
        <f t="shared" si="29"/>
        <v>0</v>
      </c>
      <c r="O347" s="44">
        <f t="shared" si="28"/>
        <v>0</v>
      </c>
    </row>
    <row r="348" spans="1:15" x14ac:dyDescent="0.25">
      <c r="A348" s="24">
        <v>49249</v>
      </c>
      <c r="G348" s="46"/>
      <c r="H348" s="22">
        <f t="shared" si="25"/>
        <v>0</v>
      </c>
      <c r="I348" s="25">
        <f>'1 - Amortisation'!G319</f>
        <v>72242.463550347558</v>
      </c>
      <c r="J348" s="25">
        <f t="shared" si="26"/>
        <v>1458.7970875775209</v>
      </c>
      <c r="M348" s="26" t="e">
        <f t="shared" si="27"/>
        <v>#DIV/0!</v>
      </c>
      <c r="N348" s="1">
        <f t="shared" si="29"/>
        <v>0</v>
      </c>
      <c r="O348" s="44">
        <f t="shared" si="28"/>
        <v>0</v>
      </c>
    </row>
    <row r="349" spans="1:15" x14ac:dyDescent="0.25">
      <c r="A349" s="24">
        <v>49279</v>
      </c>
      <c r="G349" s="46"/>
      <c r="H349" s="22">
        <f t="shared" si="25"/>
        <v>0</v>
      </c>
      <c r="I349" s="25">
        <f>'1 - Amortisation'!G320</f>
        <v>70772.725484613213</v>
      </c>
      <c r="J349" s="25">
        <f>I348-I349</f>
        <v>1469.7380657343456</v>
      </c>
      <c r="M349" s="26" t="e">
        <f t="shared" si="27"/>
        <v>#DIV/0!</v>
      </c>
      <c r="N349" s="1">
        <f t="shared" si="29"/>
        <v>0</v>
      </c>
      <c r="O349" s="44">
        <f t="shared" si="28"/>
        <v>0</v>
      </c>
    </row>
    <row r="350" spans="1:15" x14ac:dyDescent="0.25">
      <c r="A350" s="24">
        <v>49310</v>
      </c>
      <c r="G350" s="46"/>
      <c r="H350" s="22">
        <f t="shared" si="25"/>
        <v>0</v>
      </c>
      <c r="I350" s="25">
        <f>'1 - Amortisation'!G321</f>
        <v>69291.964383385857</v>
      </c>
      <c r="J350" s="25">
        <f t="shared" ref="J350:J360" si="30">I349-I350</f>
        <v>1480.7611012273555</v>
      </c>
      <c r="M350" s="26" t="e">
        <f t="shared" si="27"/>
        <v>#DIV/0!</v>
      </c>
      <c r="N350" s="1">
        <f t="shared" si="29"/>
        <v>0</v>
      </c>
      <c r="O350" s="44">
        <f t="shared" si="28"/>
        <v>0</v>
      </c>
    </row>
    <row r="351" spans="1:15" x14ac:dyDescent="0.25">
      <c r="A351" s="24">
        <v>49341</v>
      </c>
      <c r="G351" s="46"/>
      <c r="H351" s="22">
        <f t="shared" si="25"/>
        <v>0</v>
      </c>
      <c r="I351" s="25">
        <f>'1 - Amortisation'!G322</f>
        <v>67800.0975738993</v>
      </c>
      <c r="J351" s="25">
        <f t="shared" si="30"/>
        <v>1491.866809486557</v>
      </c>
      <c r="M351" s="26" t="e">
        <f t="shared" si="27"/>
        <v>#DIV/0!</v>
      </c>
      <c r="N351" s="1">
        <f t="shared" si="29"/>
        <v>0</v>
      </c>
      <c r="O351" s="44">
        <f t="shared" si="28"/>
        <v>0</v>
      </c>
    </row>
    <row r="352" spans="1:15" x14ac:dyDescent="0.25">
      <c r="A352" s="24">
        <v>49369</v>
      </c>
      <c r="G352" s="46"/>
      <c r="H352" s="22">
        <f t="shared" si="25"/>
        <v>0</v>
      </c>
      <c r="I352" s="25">
        <f>'1 - Amortisation'!G323</f>
        <v>66297.041763341593</v>
      </c>
      <c r="J352" s="25">
        <f t="shared" si="30"/>
        <v>1503.0558105577074</v>
      </c>
      <c r="M352" s="26" t="e">
        <f t="shared" si="27"/>
        <v>#DIV/0!</v>
      </c>
      <c r="N352" s="1">
        <f t="shared" si="29"/>
        <v>0</v>
      </c>
      <c r="O352" s="44">
        <f t="shared" si="28"/>
        <v>0</v>
      </c>
    </row>
    <row r="353" spans="1:15" x14ac:dyDescent="0.25">
      <c r="A353" s="24">
        <v>49400</v>
      </c>
      <c r="G353" s="46"/>
      <c r="H353" s="22">
        <f t="shared" ref="H353:H390" si="31">F353/$F$31</f>
        <v>0</v>
      </c>
      <c r="I353" s="25">
        <f>'1 - Amortisation'!G324</f>
        <v>64782.713034204702</v>
      </c>
      <c r="J353" s="25">
        <f t="shared" si="30"/>
        <v>1514.3287291368906</v>
      </c>
      <c r="M353" s="26" t="e">
        <f t="shared" ref="M353:M390" si="32">B353/D353</f>
        <v>#DIV/0!</v>
      </c>
      <c r="N353" s="1">
        <f t="shared" si="29"/>
        <v>0</v>
      </c>
      <c r="O353" s="44">
        <f t="shared" si="28"/>
        <v>0</v>
      </c>
    </row>
    <row r="354" spans="1:15" x14ac:dyDescent="0.25">
      <c r="A354" s="24">
        <v>49430</v>
      </c>
      <c r="G354" s="46"/>
      <c r="H354" s="22">
        <f t="shared" si="31"/>
        <v>0</v>
      </c>
      <c r="I354" s="25">
        <f>'1 - Amortisation'!G325</f>
        <v>63257.026839599283</v>
      </c>
      <c r="J354" s="25">
        <f t="shared" si="30"/>
        <v>1525.6861946054196</v>
      </c>
      <c r="M354" s="26" t="e">
        <f t="shared" si="32"/>
        <v>#DIV/0!</v>
      </c>
      <c r="N354" s="1">
        <f t="shared" si="29"/>
        <v>0</v>
      </c>
      <c r="O354" s="44">
        <f t="shared" si="28"/>
        <v>0</v>
      </c>
    </row>
    <row r="355" spans="1:15" x14ac:dyDescent="0.25">
      <c r="A355" s="24">
        <v>49461</v>
      </c>
      <c r="H355" s="22">
        <f t="shared" si="31"/>
        <v>0</v>
      </c>
      <c r="I355" s="25">
        <f>'1 - Amortisation'!G326</f>
        <v>61719.897998534325</v>
      </c>
      <c r="J355" s="25">
        <f t="shared" si="30"/>
        <v>1537.1288410649577</v>
      </c>
      <c r="M355" s="26" t="e">
        <f t="shared" si="32"/>
        <v>#DIV/0!</v>
      </c>
      <c r="N355" s="1">
        <f t="shared" si="29"/>
        <v>0</v>
      </c>
      <c r="O355" s="44">
        <f t="shared" ref="O355:O390" si="33">F355+G355</f>
        <v>0</v>
      </c>
    </row>
    <row r="356" spans="1:15" x14ac:dyDescent="0.25">
      <c r="A356" s="24">
        <v>49491</v>
      </c>
      <c r="H356" s="22">
        <f t="shared" si="31"/>
        <v>0</v>
      </c>
      <c r="I356" s="25">
        <f>'1 - Amortisation'!G327</f>
        <v>60171.24069116138</v>
      </c>
      <c r="J356" s="25">
        <f t="shared" si="30"/>
        <v>1548.6573073729451</v>
      </c>
      <c r="M356" s="26" t="e">
        <f t="shared" si="32"/>
        <v>#DIV/0!</v>
      </c>
      <c r="N356" s="1">
        <f t="shared" si="29"/>
        <v>0</v>
      </c>
      <c r="O356" s="44">
        <f t="shared" si="33"/>
        <v>0</v>
      </c>
    </row>
    <row r="357" spans="1:15" x14ac:dyDescent="0.25">
      <c r="A357" s="24">
        <v>49522</v>
      </c>
      <c r="H357" s="22">
        <f t="shared" si="31"/>
        <v>0</v>
      </c>
      <c r="I357" s="25">
        <f>'1 - Amortisation'!G328</f>
        <v>58610.968453983136</v>
      </c>
      <c r="J357" s="25">
        <f t="shared" si="30"/>
        <v>1560.2722371782438</v>
      </c>
      <c r="M357" s="26" t="e">
        <f t="shared" si="32"/>
        <v>#DIV/0!</v>
      </c>
      <c r="N357" s="1">
        <f t="shared" si="29"/>
        <v>0</v>
      </c>
      <c r="O357" s="44">
        <f t="shared" si="33"/>
        <v>0</v>
      </c>
    </row>
    <row r="358" spans="1:15" x14ac:dyDescent="0.25">
      <c r="A358" s="24">
        <v>49553</v>
      </c>
      <c r="H358" s="22">
        <f t="shared" si="31"/>
        <v>0</v>
      </c>
      <c r="I358" s="25">
        <f>'1 - Amortisation'!G329</f>
        <v>57038.994175026055</v>
      </c>
      <c r="J358" s="25">
        <f t="shared" si="30"/>
        <v>1571.974278957081</v>
      </c>
      <c r="M358" s="26" t="e">
        <f t="shared" si="32"/>
        <v>#DIV/0!</v>
      </c>
      <c r="N358" s="1">
        <f t="shared" si="29"/>
        <v>0</v>
      </c>
      <c r="O358" s="44">
        <f t="shared" si="33"/>
        <v>0</v>
      </c>
    </row>
    <row r="359" spans="1:15" x14ac:dyDescent="0.25">
      <c r="A359" s="24">
        <v>49583</v>
      </c>
      <c r="H359" s="22">
        <f t="shared" si="31"/>
        <v>0</v>
      </c>
      <c r="I359" s="25">
        <f>'1 - Amortisation'!G330</f>
        <v>55455.230088976794</v>
      </c>
      <c r="J359" s="25">
        <f t="shared" si="30"/>
        <v>1583.7640860492611</v>
      </c>
      <c r="M359" s="26" t="e">
        <f t="shared" si="32"/>
        <v>#DIV/0!</v>
      </c>
      <c r="N359" s="1">
        <f t="shared" si="29"/>
        <v>0</v>
      </c>
      <c r="O359" s="44">
        <f t="shared" si="33"/>
        <v>0</v>
      </c>
    </row>
    <row r="360" spans="1:15" x14ac:dyDescent="0.25">
      <c r="A360" s="24">
        <v>49614</v>
      </c>
      <c r="H360" s="22">
        <f t="shared" si="31"/>
        <v>0</v>
      </c>
      <c r="I360" s="25">
        <f>'1 - Amortisation'!G331</f>
        <v>53859.587772282168</v>
      </c>
      <c r="J360" s="25">
        <f t="shared" si="30"/>
        <v>1595.6423166946261</v>
      </c>
      <c r="M360" s="26" t="e">
        <f t="shared" si="32"/>
        <v>#DIV/0!</v>
      </c>
      <c r="N360" s="1">
        <f t="shared" si="29"/>
        <v>0</v>
      </c>
      <c r="O360" s="44">
        <f t="shared" si="33"/>
        <v>0</v>
      </c>
    </row>
    <row r="361" spans="1:15" x14ac:dyDescent="0.25">
      <c r="A361" s="24">
        <v>49644</v>
      </c>
      <c r="H361" s="22">
        <f t="shared" si="31"/>
        <v>0</v>
      </c>
      <c r="I361" s="25">
        <f>'1 - Amortisation'!G332</f>
        <v>52251.978138212333</v>
      </c>
      <c r="J361" s="25">
        <f>I360-I361</f>
        <v>1607.609634069835</v>
      </c>
      <c r="M361" s="26" t="e">
        <f t="shared" si="32"/>
        <v>#DIV/0!</v>
      </c>
      <c r="N361" s="1">
        <f t="shared" si="29"/>
        <v>0</v>
      </c>
      <c r="O361" s="44">
        <f t="shared" si="33"/>
        <v>0</v>
      </c>
    </row>
    <row r="362" spans="1:15" x14ac:dyDescent="0.25">
      <c r="A362" s="24">
        <v>49675</v>
      </c>
      <c r="H362" s="22">
        <f t="shared" si="31"/>
        <v>0</v>
      </c>
      <c r="I362" s="25">
        <f>'1 - Amortisation'!G333</f>
        <v>50632.31143188697</v>
      </c>
      <c r="J362" s="25">
        <f t="shared" ref="J362:J390" si="34">I361-I362</f>
        <v>1619.6667063253626</v>
      </c>
      <c r="M362" s="26" t="e">
        <f t="shared" si="32"/>
        <v>#DIV/0!</v>
      </c>
      <c r="N362" s="1">
        <f t="shared" si="29"/>
        <v>0</v>
      </c>
      <c r="O362" s="44">
        <f t="shared" si="33"/>
        <v>0</v>
      </c>
    </row>
    <row r="363" spans="1:15" x14ac:dyDescent="0.25">
      <c r="A363" s="24">
        <v>49706</v>
      </c>
      <c r="H363" s="22">
        <f t="shared" si="31"/>
        <v>0</v>
      </c>
      <c r="I363" s="25">
        <f>'1 - Amortisation'!G334</f>
        <v>49000.497225264167</v>
      </c>
      <c r="J363" s="25">
        <f t="shared" si="34"/>
        <v>1631.8142066228029</v>
      </c>
      <c r="M363" s="26" t="e">
        <f t="shared" si="32"/>
        <v>#DIV/0!</v>
      </c>
      <c r="N363" s="1">
        <f t="shared" si="29"/>
        <v>0</v>
      </c>
      <c r="O363" s="44">
        <f t="shared" si="33"/>
        <v>0</v>
      </c>
    </row>
    <row r="364" spans="1:15" x14ac:dyDescent="0.25">
      <c r="A364" s="24">
        <v>49735</v>
      </c>
      <c r="H364" s="22">
        <f t="shared" si="31"/>
        <v>0</v>
      </c>
      <c r="I364" s="25">
        <f>'1 - Amortisation'!G335</f>
        <v>47356.444412091696</v>
      </c>
      <c r="J364" s="25">
        <f t="shared" si="34"/>
        <v>1644.0528131724714</v>
      </c>
      <c r="M364" s="26" t="e">
        <f t="shared" si="32"/>
        <v>#DIV/0!</v>
      </c>
      <c r="N364" s="1">
        <f t="shared" si="29"/>
        <v>0</v>
      </c>
      <c r="O364" s="44">
        <f t="shared" si="33"/>
        <v>0</v>
      </c>
    </row>
    <row r="365" spans="1:15" x14ac:dyDescent="0.25">
      <c r="A365" s="24">
        <v>49766</v>
      </c>
      <c r="H365" s="22">
        <f t="shared" si="31"/>
        <v>0</v>
      </c>
      <c r="I365" s="25">
        <f>'1 - Amortisation'!G336</f>
        <v>45700.061202820427</v>
      </c>
      <c r="J365" s="25">
        <f t="shared" si="34"/>
        <v>1656.3832092712692</v>
      </c>
      <c r="M365" s="26" t="e">
        <f t="shared" si="32"/>
        <v>#DIV/0!</v>
      </c>
      <c r="N365" s="1">
        <f t="shared" si="29"/>
        <v>0</v>
      </c>
      <c r="O365" s="44">
        <f t="shared" si="33"/>
        <v>0</v>
      </c>
    </row>
    <row r="366" spans="1:15" x14ac:dyDescent="0.25">
      <c r="A366" s="24">
        <v>49796</v>
      </c>
      <c r="H366" s="22">
        <f t="shared" si="31"/>
        <v>0</v>
      </c>
      <c r="I366" s="25">
        <f>'1 - Amortisation'!G337</f>
        <v>44031.255119479625</v>
      </c>
      <c r="J366" s="25">
        <f t="shared" si="34"/>
        <v>1668.8060833408017</v>
      </c>
      <c r="M366" s="26" t="e">
        <f t="shared" si="32"/>
        <v>#DIV/0!</v>
      </c>
      <c r="N366" s="1">
        <f t="shared" si="29"/>
        <v>0</v>
      </c>
      <c r="O366" s="44">
        <f t="shared" si="33"/>
        <v>0</v>
      </c>
    </row>
    <row r="367" spans="1:15" x14ac:dyDescent="0.25">
      <c r="A367" s="24">
        <v>49827</v>
      </c>
      <c r="H367" s="22">
        <f t="shared" si="31"/>
        <v>0</v>
      </c>
      <c r="I367" s="25">
        <f>'1 - Amortisation'!G338</f>
        <v>42349.932990513771</v>
      </c>
      <c r="J367" s="25">
        <f t="shared" si="34"/>
        <v>1681.3221289658541</v>
      </c>
      <c r="M367" s="26" t="e">
        <f t="shared" si="32"/>
        <v>#DIV/0!</v>
      </c>
      <c r="N367" s="1">
        <f t="shared" si="29"/>
        <v>0</v>
      </c>
      <c r="O367" s="44">
        <f t="shared" si="33"/>
        <v>0</v>
      </c>
    </row>
    <row r="368" spans="1:15" x14ac:dyDescent="0.25">
      <c r="A368" s="24">
        <v>49857</v>
      </c>
      <c r="H368" s="22">
        <f t="shared" si="31"/>
        <v>0</v>
      </c>
      <c r="I368" s="25">
        <f>'1 - Amortisation'!G339</f>
        <v>40656.000945580672</v>
      </c>
      <c r="J368" s="25">
        <f t="shared" si="34"/>
        <v>1693.932044933099</v>
      </c>
      <c r="M368" s="26" t="e">
        <f t="shared" si="32"/>
        <v>#DIV/0!</v>
      </c>
      <c r="N368" s="1">
        <f t="shared" si="29"/>
        <v>0</v>
      </c>
      <c r="O368" s="44">
        <f t="shared" si="33"/>
        <v>0</v>
      </c>
    </row>
    <row r="369" spans="1:15" x14ac:dyDescent="0.25">
      <c r="A369" s="24">
        <v>49888</v>
      </c>
      <c r="H369" s="22">
        <f t="shared" si="31"/>
        <v>0</v>
      </c>
      <c r="I369" s="25">
        <f>'1 - Amortisation'!G340</f>
        <v>38949.364410310569</v>
      </c>
      <c r="J369" s="25">
        <f t="shared" si="34"/>
        <v>1706.6365352701032</v>
      </c>
      <c r="M369" s="26" t="e">
        <f t="shared" si="32"/>
        <v>#DIV/0!</v>
      </c>
      <c r="N369" s="1">
        <f t="shared" si="29"/>
        <v>0</v>
      </c>
      <c r="O369" s="44">
        <f t="shared" si="33"/>
        <v>0</v>
      </c>
    </row>
    <row r="370" spans="1:15" x14ac:dyDescent="0.25">
      <c r="A370" s="24">
        <v>49919</v>
      </c>
      <c r="H370" s="22">
        <f t="shared" si="31"/>
        <v>0</v>
      </c>
      <c r="I370" s="25">
        <f>'1 - Amortisation'!G341</f>
        <v>37229.928101025944</v>
      </c>
      <c r="J370" s="25">
        <f t="shared" si="34"/>
        <v>1719.4363092846252</v>
      </c>
      <c r="M370" s="26" t="e">
        <f t="shared" si="32"/>
        <v>#DIV/0!</v>
      </c>
      <c r="N370" s="1">
        <f t="shared" si="29"/>
        <v>0</v>
      </c>
      <c r="O370" s="44">
        <f t="shared" si="33"/>
        <v>0</v>
      </c>
    </row>
    <row r="371" spans="1:15" x14ac:dyDescent="0.25">
      <c r="A371" s="24">
        <v>49949</v>
      </c>
      <c r="H371" s="22">
        <f t="shared" si="31"/>
        <v>0</v>
      </c>
      <c r="I371" s="25">
        <f>'1 - Amortisation'!G342</f>
        <v>35497.596019421682</v>
      </c>
      <c r="J371" s="25">
        <f t="shared" si="34"/>
        <v>1732.3320816042615</v>
      </c>
      <c r="M371" s="26" t="e">
        <f t="shared" si="32"/>
        <v>#DIV/0!</v>
      </c>
      <c r="N371" s="1">
        <f t="shared" si="29"/>
        <v>0</v>
      </c>
      <c r="O371" s="44">
        <f t="shared" si="33"/>
        <v>0</v>
      </c>
    </row>
    <row r="372" spans="1:15" x14ac:dyDescent="0.25">
      <c r="A372" s="24">
        <v>49980</v>
      </c>
      <c r="H372" s="22">
        <f t="shared" si="31"/>
        <v>0</v>
      </c>
      <c r="I372" s="25">
        <f>'1 - Amortisation'!G343</f>
        <v>33752.271447205392</v>
      </c>
      <c r="J372" s="25">
        <f t="shared" si="34"/>
        <v>1745.3245722162901</v>
      </c>
      <c r="M372" s="26" t="e">
        <f t="shared" si="32"/>
        <v>#DIV/0!</v>
      </c>
      <c r="N372" s="1">
        <f t="shared" si="29"/>
        <v>0</v>
      </c>
      <c r="O372" s="44">
        <f t="shared" si="33"/>
        <v>0</v>
      </c>
    </row>
    <row r="373" spans="1:15" x14ac:dyDescent="0.25">
      <c r="A373" s="24">
        <v>50010</v>
      </c>
      <c r="H373" s="22">
        <f t="shared" si="31"/>
        <v>0</v>
      </c>
      <c r="I373" s="25">
        <f>'1 - Amortisation'!G344</f>
        <v>31993.856940697478</v>
      </c>
      <c r="J373" s="25">
        <f t="shared" si="34"/>
        <v>1758.4145065079138</v>
      </c>
      <c r="M373" s="26" t="e">
        <f t="shared" si="32"/>
        <v>#DIV/0!</v>
      </c>
      <c r="N373" s="1">
        <f t="shared" si="29"/>
        <v>0</v>
      </c>
      <c r="O373" s="44">
        <f t="shared" si="33"/>
        <v>0</v>
      </c>
    </row>
    <row r="374" spans="1:15" x14ac:dyDescent="0.25">
      <c r="A374" s="24">
        <v>50041</v>
      </c>
      <c r="H374" s="22">
        <f t="shared" si="31"/>
        <v>0</v>
      </c>
      <c r="I374" s="25">
        <f>'1 - Amortisation'!G345</f>
        <v>30222.254325390753</v>
      </c>
      <c r="J374" s="25">
        <f t="shared" si="34"/>
        <v>1771.6026153067251</v>
      </c>
      <c r="M374" s="26" t="e">
        <f t="shared" si="32"/>
        <v>#DIV/0!</v>
      </c>
      <c r="N374" s="1">
        <f t="shared" si="29"/>
        <v>0</v>
      </c>
      <c r="O374" s="44">
        <f t="shared" si="33"/>
        <v>0</v>
      </c>
    </row>
    <row r="375" spans="1:15" x14ac:dyDescent="0.25">
      <c r="A375" s="24">
        <v>50072</v>
      </c>
      <c r="H375" s="22">
        <f t="shared" si="31"/>
        <v>0</v>
      </c>
      <c r="I375" s="25">
        <f>'1 - Amortisation'!G346</f>
        <v>28437.364690469229</v>
      </c>
      <c r="J375" s="25">
        <f t="shared" si="34"/>
        <v>1784.8896349215247</v>
      </c>
      <c r="M375" s="26" t="e">
        <f t="shared" si="32"/>
        <v>#DIV/0!</v>
      </c>
      <c r="N375" s="1">
        <f t="shared" si="29"/>
        <v>0</v>
      </c>
      <c r="O375" s="44">
        <f t="shared" si="33"/>
        <v>0</v>
      </c>
    </row>
    <row r="376" spans="1:15" x14ac:dyDescent="0.25">
      <c r="A376" s="24">
        <v>50100</v>
      </c>
      <c r="H376" s="22">
        <f t="shared" si="31"/>
        <v>0</v>
      </c>
      <c r="I376" s="25">
        <f>'1 - Amortisation'!G347</f>
        <v>26639.088383285794</v>
      </c>
      <c r="J376" s="25">
        <f t="shared" si="34"/>
        <v>1798.2763071834343</v>
      </c>
      <c r="M376" s="26" t="e">
        <f t="shared" si="32"/>
        <v>#DIV/0!</v>
      </c>
      <c r="N376" s="1">
        <f t="shared" si="29"/>
        <v>0</v>
      </c>
      <c r="O376" s="44">
        <f t="shared" si="33"/>
        <v>0</v>
      </c>
    </row>
    <row r="377" spans="1:15" x14ac:dyDescent="0.25">
      <c r="A377" s="24">
        <v>50131</v>
      </c>
      <c r="H377" s="22">
        <f t="shared" si="31"/>
        <v>0</v>
      </c>
      <c r="I377" s="25">
        <f>'1 - Amortisation'!G348</f>
        <v>24827.325003798484</v>
      </c>
      <c r="J377" s="25">
        <f t="shared" si="34"/>
        <v>1811.7633794873109</v>
      </c>
      <c r="M377" s="26" t="e">
        <f t="shared" si="32"/>
        <v>#DIV/0!</v>
      </c>
      <c r="N377" s="1">
        <f t="shared" si="29"/>
        <v>0</v>
      </c>
      <c r="O377" s="44">
        <f t="shared" si="33"/>
        <v>0</v>
      </c>
    </row>
    <row r="378" spans="1:15" x14ac:dyDescent="0.25">
      <c r="A378" s="24">
        <v>50161</v>
      </c>
      <c r="H378" s="22">
        <f t="shared" si="31"/>
        <v>0</v>
      </c>
      <c r="I378" s="25">
        <f>'1 - Amortisation'!G349</f>
        <v>23001.973398965016</v>
      </c>
      <c r="J378" s="25">
        <f t="shared" si="34"/>
        <v>1825.3516048334677</v>
      </c>
      <c r="M378" s="26" t="e">
        <f t="shared" si="32"/>
        <v>#DIV/0!</v>
      </c>
      <c r="N378" s="1">
        <f t="shared" si="29"/>
        <v>0</v>
      </c>
      <c r="O378" s="44">
        <f t="shared" si="33"/>
        <v>0</v>
      </c>
    </row>
    <row r="379" spans="1:15" x14ac:dyDescent="0.25">
      <c r="A379" s="24">
        <v>50192</v>
      </c>
      <c r="H379" s="22">
        <f t="shared" si="31"/>
        <v>0</v>
      </c>
      <c r="I379" s="25">
        <f>'1 - Amortisation'!G350</f>
        <v>21162.931657095298</v>
      </c>
      <c r="J379" s="25">
        <f t="shared" si="34"/>
        <v>1839.041741869718</v>
      </c>
      <c r="M379" s="26" t="e">
        <f t="shared" si="32"/>
        <v>#DIV/0!</v>
      </c>
      <c r="N379" s="1">
        <f t="shared" si="29"/>
        <v>0</v>
      </c>
      <c r="O379" s="44">
        <f t="shared" si="33"/>
        <v>0</v>
      </c>
    </row>
    <row r="380" spans="1:15" x14ac:dyDescent="0.25">
      <c r="A380" s="24">
        <v>50222</v>
      </c>
      <c r="H380" s="22">
        <f t="shared" si="31"/>
        <v>0</v>
      </c>
      <c r="I380" s="25">
        <f>'1 - Amortisation'!G351</f>
        <v>19310.097102161559</v>
      </c>
      <c r="J380" s="25">
        <f t="shared" si="34"/>
        <v>1852.8345549337391</v>
      </c>
      <c r="M380" s="26" t="e">
        <f t="shared" si="32"/>
        <v>#DIV/0!</v>
      </c>
      <c r="N380" s="1">
        <f t="shared" si="29"/>
        <v>0</v>
      </c>
      <c r="O380" s="44">
        <f t="shared" si="33"/>
        <v>0</v>
      </c>
    </row>
    <row r="381" spans="1:15" x14ac:dyDescent="0.25">
      <c r="A381" s="24">
        <v>50253</v>
      </c>
      <c r="H381" s="22">
        <f t="shared" si="31"/>
        <v>0</v>
      </c>
      <c r="I381" s="25">
        <f>'1 - Amortisation'!G352</f>
        <v>17443.366288065816</v>
      </c>
      <c r="J381" s="25">
        <f t="shared" si="34"/>
        <v>1866.730814095743</v>
      </c>
      <c r="M381" s="26" t="e">
        <f t="shared" si="32"/>
        <v>#DIV/0!</v>
      </c>
      <c r="N381" s="1">
        <f t="shared" si="29"/>
        <v>0</v>
      </c>
      <c r="O381" s="44">
        <f t="shared" si="33"/>
        <v>0</v>
      </c>
    </row>
    <row r="382" spans="1:15" x14ac:dyDescent="0.25">
      <c r="A382" s="24">
        <v>50284</v>
      </c>
      <c r="H382" s="22">
        <f t="shared" si="31"/>
        <v>0</v>
      </c>
      <c r="I382" s="25">
        <f>'1 - Amortisation'!G353</f>
        <v>15562.634992864354</v>
      </c>
      <c r="J382" s="25">
        <f t="shared" si="34"/>
        <v>1880.7312952014618</v>
      </c>
      <c r="M382" s="26" t="e">
        <f t="shared" si="32"/>
        <v>#DIV/0!</v>
      </c>
      <c r="N382" s="1">
        <f t="shared" si="29"/>
        <v>0</v>
      </c>
      <c r="O382" s="44">
        <f t="shared" si="33"/>
        <v>0</v>
      </c>
    </row>
    <row r="383" spans="1:15" x14ac:dyDescent="0.25">
      <c r="A383" s="24">
        <v>50314</v>
      </c>
      <c r="H383" s="22">
        <f t="shared" si="31"/>
        <v>0</v>
      </c>
      <c r="I383" s="25">
        <f>'1 - Amortisation'!G354</f>
        <v>13667.798212948881</v>
      </c>
      <c r="J383" s="25">
        <f t="shared" si="34"/>
        <v>1894.836779915473</v>
      </c>
      <c r="M383" s="26" t="e">
        <f t="shared" si="32"/>
        <v>#DIV/0!</v>
      </c>
      <c r="N383" s="1">
        <f t="shared" si="29"/>
        <v>0</v>
      </c>
      <c r="O383" s="44">
        <f t="shared" si="33"/>
        <v>0</v>
      </c>
    </row>
    <row r="384" spans="1:15" x14ac:dyDescent="0.25">
      <c r="A384" s="24">
        <v>50345</v>
      </c>
      <c r="H384" s="22">
        <f t="shared" si="31"/>
        <v>0</v>
      </c>
      <c r="I384" s="25">
        <f>'1 - Amortisation'!G355</f>
        <v>11758.750157184042</v>
      </c>
      <c r="J384" s="25">
        <f t="shared" si="34"/>
        <v>1909.0480557648389</v>
      </c>
      <c r="M384" s="26" t="e">
        <f t="shared" si="32"/>
        <v>#DIV/0!</v>
      </c>
      <c r="N384" s="1">
        <f t="shared" si="29"/>
        <v>0</v>
      </c>
      <c r="O384" s="44">
        <f t="shared" si="33"/>
        <v>0</v>
      </c>
    </row>
    <row r="385" spans="1:15" x14ac:dyDescent="0.25">
      <c r="A385" s="24">
        <v>50375</v>
      </c>
      <c r="H385" s="22">
        <f t="shared" si="31"/>
        <v>0</v>
      </c>
      <c r="I385" s="25">
        <f>'1 - Amortisation'!G356</f>
        <v>9835.3842410009674</v>
      </c>
      <c r="J385" s="25">
        <f t="shared" si="34"/>
        <v>1923.3659161830747</v>
      </c>
      <c r="M385" s="26" t="e">
        <f t="shared" si="32"/>
        <v>#DIV/0!</v>
      </c>
      <c r="N385" s="1">
        <f t="shared" si="29"/>
        <v>0</v>
      </c>
      <c r="O385" s="44">
        <f t="shared" si="33"/>
        <v>0</v>
      </c>
    </row>
    <row r="386" spans="1:15" x14ac:dyDescent="0.25">
      <c r="A386" s="24">
        <v>50406</v>
      </c>
      <c r="H386" s="22">
        <f t="shared" si="31"/>
        <v>0</v>
      </c>
      <c r="I386" s="25">
        <f>'1 - Amortisation'!G357</f>
        <v>7897.5930804465197</v>
      </c>
      <c r="J386" s="25">
        <f t="shared" si="34"/>
        <v>1937.7911605544477</v>
      </c>
      <c r="M386" s="26" t="e">
        <f t="shared" si="32"/>
        <v>#DIV/0!</v>
      </c>
      <c r="N386" s="1">
        <f t="shared" si="29"/>
        <v>0</v>
      </c>
      <c r="O386" s="44">
        <f t="shared" si="33"/>
        <v>0</v>
      </c>
    </row>
    <row r="387" spans="1:15" x14ac:dyDescent="0.25">
      <c r="A387" s="24">
        <v>50437</v>
      </c>
      <c r="H387" s="22">
        <f t="shared" si="31"/>
        <v>0</v>
      </c>
      <c r="I387" s="25">
        <f>'1 - Amortisation'!G358</f>
        <v>5945.2684861879134</v>
      </c>
      <c r="J387" s="25">
        <f t="shared" si="34"/>
        <v>1952.3245942586063</v>
      </c>
      <c r="M387" s="26" t="e">
        <f t="shared" si="32"/>
        <v>#DIV/0!</v>
      </c>
      <c r="N387" s="1">
        <f t="shared" si="29"/>
        <v>0</v>
      </c>
      <c r="O387" s="44">
        <f t="shared" si="33"/>
        <v>0</v>
      </c>
    </row>
    <row r="388" spans="1:15" x14ac:dyDescent="0.25">
      <c r="A388" s="24">
        <v>50465</v>
      </c>
      <c r="H388" s="22">
        <f t="shared" si="31"/>
        <v>0</v>
      </c>
      <c r="I388" s="25">
        <f>'1 - Amortisation'!G359</f>
        <v>3978.3014574723675</v>
      </c>
      <c r="J388" s="25">
        <f t="shared" si="34"/>
        <v>1966.9670287155459</v>
      </c>
      <c r="M388" s="26" t="e">
        <f t="shared" si="32"/>
        <v>#DIV/0!</v>
      </c>
      <c r="N388" s="1">
        <f t="shared" si="29"/>
        <v>0</v>
      </c>
      <c r="O388" s="44">
        <f t="shared" si="33"/>
        <v>0</v>
      </c>
    </row>
    <row r="389" spans="1:15" x14ac:dyDescent="0.25">
      <c r="A389" s="24">
        <v>50496</v>
      </c>
      <c r="H389" s="22">
        <f t="shared" si="31"/>
        <v>0</v>
      </c>
      <c r="I389" s="25">
        <f>'1 - Amortisation'!G360</f>
        <v>1996.5821760414551</v>
      </c>
      <c r="J389" s="25">
        <f t="shared" si="34"/>
        <v>1981.7192814309124</v>
      </c>
      <c r="M389" s="26" t="e">
        <f t="shared" si="32"/>
        <v>#DIV/0!</v>
      </c>
      <c r="N389" s="1">
        <f t="shared" si="29"/>
        <v>0</v>
      </c>
      <c r="O389" s="44">
        <f t="shared" si="33"/>
        <v>0</v>
      </c>
    </row>
    <row r="390" spans="1:15" x14ac:dyDescent="0.25">
      <c r="A390" s="24">
        <v>50526</v>
      </c>
      <c r="H390" s="22">
        <f t="shared" si="31"/>
        <v>0</v>
      </c>
      <c r="I390" s="25">
        <f>'1 - Amortisation'!G361</f>
        <v>-1.8917489796876907E-10</v>
      </c>
      <c r="J390" s="25">
        <f t="shared" si="34"/>
        <v>1996.5821760416443</v>
      </c>
      <c r="M390" s="26" t="e">
        <f t="shared" si="32"/>
        <v>#DIV/0!</v>
      </c>
      <c r="N390" s="1">
        <f t="shared" si="29"/>
        <v>0</v>
      </c>
      <c r="O390" s="44">
        <f t="shared" si="33"/>
        <v>0</v>
      </c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1 - Amortisation</vt:lpstr>
      <vt:lpstr>2 - Mortgage</vt:lpstr>
      <vt:lpstr>Mortgage - 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</dc:creator>
  <cp:lastModifiedBy>Joel Gallagher</cp:lastModifiedBy>
  <dcterms:created xsi:type="dcterms:W3CDTF">2012-03-26T11:39:25Z</dcterms:created>
  <dcterms:modified xsi:type="dcterms:W3CDTF">2020-01-13T03:02:31Z</dcterms:modified>
</cp:coreProperties>
</file>